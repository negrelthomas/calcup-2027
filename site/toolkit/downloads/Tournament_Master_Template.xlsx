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omments3.xml" ContentType="application/vnd.openxmlformats-officedocument.spreadsheetml.comments+xml"/>
  <Override PartName="/xl/tables/table3.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tables/table6.xml" ContentType="application/vnd.openxmlformats-officedocument.spreadsheetml.table+xml"/>
  <Override PartName="/xl/comments11.xml" ContentType="application/vnd.openxmlformats-officedocument.spreadsheetml.comments+xml"/>
  <Override PartName="/xl/comments12.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tables/table7.xml" ContentType="application/vnd.openxmlformats-officedocument.spreadsheetml.table+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tables/table8.xml" ContentType="application/vnd.openxmlformats-officedocument.spreadsheetml.table+xml"/>
  <Override PartName="/xl/drawings/drawing3.xml" ContentType="application/vnd.openxmlformats-officedocument.drawing+xml"/>
  <Override PartName="/xl/comments2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14665" documentId="8_{F3483677-ADB6-49F5-8D79-271DF9CB5A38}" xr6:coauthVersionLast="47" xr6:coauthVersionMax="47" xr10:uidLastSave="{00C3775C-616E-4B74-BE44-A45C328C5F5C}"/>
  <bookViews>
    <workbookView xWindow="-108" yWindow="-108" windowWidth="41496" windowHeight="16776" tabRatio="826" firstSheet="0" activeTab="0" xr2:uid="{00000000-000D-0000-FFFF-FFFF00000000}"/>
  </bookViews>
  <sheets>
    <sheet name="----- NAVIGATION -----" sheetId="41" r:id="rId1"/>
    <sheet name="Control Panel" sheetId="83" r:id="rId2"/>
    <sheet name="Model Notes" sheetId="91" r:id="rId3"/>
    <sheet name="Admin Manual" sheetId="12" r:id="rId4"/>
    <sheet name="Volunteer Guide" sheetId="13" r:id="rId5"/>
    <sheet name="----- MASTER DATA -----" sheetId="42" r:id="rId6"/>
    <sheet name="Inputs" sheetId="82" r:id="rId7"/>
    <sheet name="Format Engine" sheetId="88" r:id="rId8"/>
    <sheet name="Standings Engine" sheetId="89" r:id="rId9"/>
    <sheet name="Teams Master" sheetId="51" r:id="rId10"/>
    <sheet name="Referees Master" sheetId="52" r:id="rId11"/>
    <sheet name="Medical Staff Master" sheetId="84" r:id="rId12"/>
    <sheet name="Products Master" sheetId="53" r:id="rId13"/>
    <sheet name="----- REGISTRATION -----" sheetId="43" r:id="rId14"/>
    <sheet name="Registration 2027" sheetId="57" r:id="rId15"/>
    <sheet name="----- GAME OPERATIONS -----" sheetId="44" r:id="rId16"/>
    <sheet name="Games Schedule" sheetId="5" r:id="rId17"/>
    <sheet name="Group Draw" sheetId="66" r:id="rId18"/>
    <sheet name="Printable Schedule" sheetId="11" r:id="rId19"/>
    <sheet name="Rankings" sheetId="4" r:id="rId20"/>
    <sheet name="Final Rankings" sheetId="3" r:id="rId21"/>
    <sheet name="Past Winners" sheetId="94" r:id="rId22"/>
    <sheet name="----- TEAM ROSTERS -----" sheetId="45" r:id="rId23"/>
    <sheet name="Rosters Master" sheetId="54" r:id="rId24"/>
    <sheet name="Roster Template" sheetId="67" r:id="rId25"/>
    <sheet name="----- STATISTICS &amp; MVP -----" sheetId="46" r:id="rId26"/>
    <sheet name="Stats &amp; MVP" sheetId="56" r:id="rId27"/>
    <sheet name="Individuals Stats Men" sheetId="22" r:id="rId28"/>
    <sheet name="Individuals Stats Women" sheetId="15" r:id="rId29"/>
    <sheet name="Voters Master" sheetId="61" r:id="rId30"/>
    <sheet name="Officials Contacts" sheetId="81" r:id="rId31"/>
    <sheet name="MVP Voting" sheetId="63" r:id="rId32"/>
    <sheet name="----- VOLUNTEERS -----" sheetId="47" r:id="rId33"/>
    <sheet name="Volunteer Master List" sheetId="58" r:id="rId34"/>
    <sheet name="Gym Prep" sheetId="7" r:id="rId35"/>
    <sheet name="Referee Pickup Drop Off" sheetId="8" r:id="rId36"/>
    <sheet name="----- FINANCE -----" sheetId="48" r:id="rId37"/>
    <sheet name="Budget Dashboard" sheetId="55" r:id="rId38"/>
    <sheet name="Multi Year Financial Summary" sheetId="33" r:id="rId40"/>
    <sheet name="Operations Costs" sheetId="64" r:id="rId41"/>
    <sheet name="Concession Projection Details" sheetId="34" r:id="rId42"/>
    <sheet name="Merch Pre-Order (COGS)" sheetId="93" r:id="rId43"/>
    <sheet name="Concession purchase list" sheetId="36" r:id="rId44"/>
    <sheet name="Price List Concession" sheetId="35" r:id="rId45"/>
    <sheet name="Pre-orders" sheetId="95" r:id="rId46"/>
    <sheet name="----- TEMPLATES -----" sheetId="49" r:id="rId47"/>
    <sheet name="Game Sheet" sheetId="21" r:id="rId48"/>
  </sheets>
  <definedNames>
    <definedName name="_xlnm._FilterDatabase" localSheetId="40" hidden="1">'Concession Projection Details'!$B$3:$W$43</definedName>
    <definedName name="_xlnm._FilterDatabase" localSheetId="27" hidden="1">'Individuals Stats Men'!$B$2:$K$130</definedName>
    <definedName name="_xlnm._FilterDatabase" localSheetId="28" hidden="1">'Individuals Stats Women'!$B$2:$L$74</definedName>
    <definedName name="Men_Group_A_Result_Table" localSheetId="19">Rankings!$B$3:$F$6</definedName>
    <definedName name="Men_Group_B_Result_Table" localSheetId="19">Rankings!$B$10:$F$13</definedName>
    <definedName name="Men_Group_B_Result_Table">#REF!</definedName>
    <definedName name="MenFieldPlayers">_xlfn.ANCHORARRAY('MVP Voting'!$V$2)</definedName>
    <definedName name="MenGoalkeepers">_xlfn.ANCHORARRAY('MVP Voting'!$X$2)</definedName>
    <definedName name="_xlnm.Print_Area" localSheetId="46">'Game Sheet'!$A$1:$AC$37</definedName>
    <definedName name="_xlnm.Print_Area" localSheetId="27">'Individuals Stats Men'!$B$2:$L$31</definedName>
    <definedName name="_xlnm.Print_Area" localSheetId="18">'Printable Schedule'!$A$1:$K$30</definedName>
    <definedName name="_xlnm.Print_Titles" localSheetId="18">'Printable Schedule'!$3:$3</definedName>
    <definedName name="Women_Result_Table" localSheetId="19">Rankings!$B$17:$F$21</definedName>
    <definedName name="Women_Result_Table">#REF!</definedName>
    <definedName name="WomenFieldPlayers">_xlfn.ANCHORARRAY('MVP Voting'!$W$2)</definedName>
    <definedName name="WomenGoalkeepers">_xlfn.ANCHORARRAY('MVP Voting'!$Y$2)</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C6" authorId="0" shapeId="0" xr:uid="{006E1DBC-69D7-42DD-994C-94732154EBC8}">
      <text>
        <r>
          <rPr>
            <b/>
            <sz val="9"/>
            <color indexed="81"/>
            <rFont val="Tahoma"/>
            <family val="2"/>
          </rPr>
          <t xml:space="preserve">Organizer:</t>
        </r>
        <r>
          <rPr>
            <sz val="9"/>
            <color indexed="81"/>
            <rFont val="Tahoma"/>
            <family val="2"/>
          </rPr>
          <t xml:space="preserve">
Warm-up minutes per game slot. Single source: Games Schedule reads from here.</t>
        </r>
      </text>
    </comment>
    <comment ref="C13" authorId="0" shapeId="0" xr:uid="{39E4A877-44E7-47B3-AE04-60C490406331}">
      <text>
        <r>
          <rPr>
            <sz val="9"/>
            <color indexed="81"/>
            <rFont val="Tahoma"/>
            <family val="2"/>
          </rPr>
          <t xml:space="preserve">Driven by the Tournament Format toggle on the Control Panel (via Format Engine). Change the format there, not here. Registration capacity reads from this cell.</t>
        </r>
      </text>
    </comment>
    <comment ref="C18" authorId="0" shapeId="0" xr:uid="{C36EAA07-A8E4-408E-9739-69292F480420}">
      <text>
        <r>
          <rPr>
            <sz val="9"/>
            <color indexed="81"/>
            <rFont val="Tahoma"/>
            <family val="2"/>
          </rPr>
          <t xml:space="preserve">Per-team registration fee ($600 for 2027). Single source: Budget Dashboard and Registration read from here.</t>
        </r>
      </text>
    </comment>
    <comment ref="C19" authorId="0" shapeId="0" xr:uid="{E33224B9-D20F-42B1-8BEF-DABFB84029DD}">
      <text>
        <r>
          <rPr>
            <b/>
            <sz val="9"/>
            <color indexed="81"/>
            <rFont val="Tahoma"/>
            <family val="2"/>
          </rPr>
          <t xml:space="preserve">Organizer:</t>
        </r>
        <r>
          <rPr>
            <sz val="9"/>
            <color indexed="81"/>
            <rFont val="Tahoma"/>
            <family val="2"/>
          </rPr>
          <t xml:space="preserve">
Deposit as a share of the full fee. 2027: $600 fee × 35% = $210 deposit (Budget Dashboard rounds to whole dollars). Single source: the Budget Dashboard deposit driver reads from here.</t>
        </r>
      </text>
    </comment>
    <comment ref="C22" authorId="0" shapeId="0" xr:uid="{B9C3A438-0647-404A-903F-BD67A1E493C7}">
      <text>
        <r>
          <rPr>
            <sz val="11"/>
            <color theme="1"/>
            <rFont val="Calibri"/>
            <scheme val="minor"/>
          </rPr>
          <t xml:space="preserve">The tournament's Friday: Fri, Feb 12, 2027 for 2027. Games Schedule dates flow from this cell:
• 3-day formats (8M+4W, 6M+6W) run Fri → Sun starting from this date.
• The 4-day 8M+5W format starts one day earlier: Thu Feb 11 evening (1 game) → Fri → Sat → Sun.
Enter a Friday date.</t>
        </r>
      </text>
    </comment>
    <comment ref="C23" authorId="0" shapeId="0" xr:uid="{E7EE0498-E86C-4770-862D-0F04264585B5}">
      <text>
        <r>
          <rPr>
            <sz val="9"/>
            <color indexed="81"/>
            <rFont val="Tahoma"/>
            <charset val="1"/>
          </rPr>
          <t xml:space="preserve">Tournament venue. Game Sheet header row 3 reads from here.</t>
        </r>
      </text>
    </comment>
    <comment ref="C26" authorId="0" shapeId="0" xr:uid="{F728E288-4A80-49B5-91DB-E9B7303A5ED8}">
      <text>
        <r>
          <rPr>
            <b/>
            <sz val="9"/>
            <color indexed="81"/>
            <rFont val="Tahoma"/>
            <charset val="1"/>
          </rPr>
          <t xml:space="preserve">Organizer:</t>
        </r>
        <r>
          <rPr>
            <sz val="9"/>
            <color indexed="81"/>
            <rFont val="Tahoma"/>
            <charset val="1"/>
          </rPr>
          <t xml:space="preserve">
First court time on Day 1. All Day-1 game times compute from this + the game parameters.</t>
        </r>
      </text>
    </comment>
    <comment ref="C27" authorId="0" shapeId="0" xr:uid="{BFB7E3B2-1BB3-4EC0-979A-650458B4D641}">
      <text>
        <r>
          <rPr>
            <b/>
            <sz val="9"/>
            <color indexed="81"/>
            <rFont val="Tahoma"/>
            <charset val="1"/>
          </rPr>
          <t xml:space="preserve">Organizer:</t>
        </r>
        <r>
          <rPr>
            <sz val="9"/>
            <color indexed="81"/>
            <rFont val="Tahoma"/>
            <charset val="1"/>
          </rPr>
          <t xml:space="preserve">
First court time on Day 2.</t>
        </r>
      </text>
    </comment>
    <comment ref="C28" authorId="0" shapeId="0" xr:uid="{018634F5-53C2-4E06-97C2-891973A98C65}">
      <text>
        <r>
          <rPr>
            <b/>
            <sz val="9"/>
            <color indexed="81"/>
            <rFont val="Tahoma"/>
            <charset val="1"/>
          </rPr>
          <t xml:space="preserve">Organizer:</t>
        </r>
        <r>
          <rPr>
            <sz val="9"/>
            <color indexed="81"/>
            <rFont val="Tahoma"/>
            <charset val="1"/>
          </rPr>
          <t xml:space="preserve">
First court time on Day 3.</t>
        </r>
      </text>
    </comment>
    <comment ref="C29" authorId="0" shapeId="0" xr:uid="{1091057E-3DC4-44AF-9B26-CA6B9459E4D3}">
      <text>
        <r>
          <rPr>
            <b/>
            <sz val="9"/>
            <color indexed="81"/>
            <rFont val="Tahoma"/>
            <charset val="1"/>
          </rPr>
          <t xml:space="preserve">Organizer:</t>
        </r>
        <r>
          <rPr>
            <sz val="9"/>
            <color indexed="81"/>
            <rFont val="Tahoma"/>
            <charset val="1"/>
          </rPr>
          <t xml:space="preserve">
First court time on Day 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B1" authorId="0" shapeId="0" xr:uid="{ED141BEC-BD08-4F6D-B6AC-5F1E2E3C6007}">
      <text>
        <r>
          <rPr>
            <b/>
            <sz val="9"/>
            <color indexed="81"/>
            <rFont val="Tahoma"/>
            <charset val="1"/>
          </rPr>
          <t xml:space="preserve">Organizer:</t>
        </r>
        <r>
          <rPr>
            <sz val="9"/>
            <color indexed="81"/>
            <rFont val="Tahoma"/>
            <charset val="1"/>
          </rPr>
          <t xml:space="preserve">
HOW THIS TAB WORKS
Calculates group standings for every team, for whichever tournament format is active, and produces the codes playoff games use to look up their opponents. Don't edit any cell here: fix scores on Games Schedule instead.
B  Code: group + seed (e.g. A1 = Group A, seed 1), from the Group Draw via Teams Master.
C  Group: first letter(s) of Code.
D  Pts: group-stage points only (games where Games Schedule col J = "P" are playoffs and excluded). Win=2/Draw=1/Loss=0, summed from Games Schedule cols U/V.
E/F GF/GA: goals for/against, group-stage games only.
G  GD: Goal Diff = GF-GA.
H  RankScore: tie-break score = Pts×1000+GD, so points always outrank goal difference.
I  RankInGrp: this team's rank within its own group, by RankScore.
J  RankedCode: Group+Rank (e.g. "A1" = Group A's 1st place). Games Schedule looks up playoff opponents by this code.
K  Active?: 1 if this group has group-stage games in the CURRENT format (some formats skip groups).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M1" authorId="0" shapeId="0" xr:uid="{D0DBFADE-0E8E-4E07-85CA-56927D865D62}">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 ref="M2" authorId="0" shapeId="0" xr:uid="{14BBF78C-7C72-4F59-902F-75D51D5B2390}">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 ref="M3" authorId="0" shapeId="0" xr:uid="{CE818E45-5241-44C1-B38F-CA012D19100D}">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 ref="M4" authorId="0" shapeId="0" xr:uid="{F396677D-1A4E-4235-A4DE-78E60A853675}">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 ref="M5" authorId="0" shapeId="0" xr:uid="{D22D43A1-F48E-4973-BEF4-92F79E9E29AF}">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 ref="M6" authorId="0" shapeId="0" xr:uid="{2F2BB3E2-1073-4998-B2FA-051DAFA75900}">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 ref="M7" authorId="0" shapeId="0" xr:uid="{BA311AC0-2084-465A-85E4-87726DC68F18}">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 ref="M8" authorId="0" shapeId="0" xr:uid="{999EC4BE-B3A1-4F22-B711-839C0DD7063E}">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 ref="M9" authorId="0" shapeId="0" xr:uid="{384A7E63-5348-48C0-B22A-A59C8517D5CF}">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 ref="M10" authorId="0" shapeId="0" xr:uid="{49469B06-25AA-43CC-BE1C-CB0E6698A422}">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 ref="M11" authorId="0" shapeId="0" xr:uid="{D1598F76-E688-48F9-ABCD-790FBC41EA2E}">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 ref="M12" authorId="0" shapeId="0" xr:uid="{355793E3-7C85-4663-A7CD-9FE9998B706E}">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 ref="M13" authorId="0" shapeId="0" xr:uid="{225C12EA-5C56-484C-8675-ACB79EFBF7F8}">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 ref="M14" authorId="0" shapeId="0" xr:uid="{9BEE1F47-EC5C-4C34-97A1-B8786C043D8A}">
      <text>
        <r>
          <rPr>
            <b/>
            <sz val="9"/>
            <color indexed="81"/>
            <rFont val="Tahoma"/>
            <charset val="1"/>
          </rPr>
          <t xml:space="preserve">Organizer:</t>
        </r>
        <r>
          <rPr>
            <sz val="9"/>
            <color indexed="81"/>
            <rFont val="Tahoma"/>
            <charset val="1"/>
          </rPr>
          <t xml:space="preserve">
Flags if a Group Code is assigned to more than one team. Each code must belong to exactly one team.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O3" authorId="0" shapeId="0" xr:uid="{C615B978-1C4F-442F-9A90-D6E0978B6F94}">
      <text>
        <r>
          <rPr>
            <b/>
            <sz val="9"/>
            <color indexed="81"/>
            <rFont val="Tahoma"/>
            <charset val="1"/>
          </rPr>
          <t xml:space="preserve">Organizer:</t>
        </r>
        <r>
          <rPr>
            <sz val="9"/>
            <color indexed="81"/>
            <rFont val="Tahoma"/>
            <charset val="1"/>
          </rPr>
          <t xml:space="preserve">
Referees work as fixed pairs. This tags each referee to their pair. Pairs are defined here once and referenced by the schedule: individuals stay tracked separately above for expense management.</t>
        </r>
      </text>
    </comment>
    <comment ref="R4" authorId="0" shapeId="0" xr:uid="{F085EA0C-E6E6-4432-A1B0-865F47FC77A3}">
      <text>
        <r>
          <rPr>
            <b/>
            <sz val="9"/>
            <color indexed="81"/>
            <rFont val="Tahoma"/>
            <charset val="1"/>
          </rPr>
          <t xml:space="preserve">Organizer:</t>
        </r>
        <r>
          <rPr>
            <sz val="9"/>
            <color indexed="81"/>
            <rFont val="Tahoma"/>
            <charset val="1"/>
          </rPr>
          <t xml:space="preserve">
Referee 1 of this pair (first member). Pulls live from the Name column so any rename flows through.</t>
        </r>
      </text>
    </comment>
    <comment ref="T4" authorId="0" shapeId="0" xr:uid="{BF985629-28CB-483C-893A-7BEC969B5F23}">
      <text>
        <r>
          <rPr>
            <b/>
            <sz val="9"/>
            <color indexed="81"/>
            <rFont val="Tahoma"/>
            <charset val="1"/>
          </rPr>
          <t xml:space="preserve">Organizer:</t>
        </r>
        <r>
          <rPr>
            <sz val="9"/>
            <color indexed="81"/>
            <rFont val="Tahoma"/>
            <charset val="1"/>
          </rPr>
          <t xml:space="preserve">
Combined pair label shown in the Games Schedule referee dropdown. Built from the two member names: single source.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B3" authorId="0" shapeId="0" xr:uid="{BCAAF13C-9E43-44A8-A913-C65624D69919}">
      <text>
        <r>
          <rPr>
            <b/>
            <sz val="9"/>
            <color indexed="81"/>
            <rFont val="Tahoma"/>
            <family val="2"/>
          </rPr>
          <t xml:space="preserve">Organizer:</t>
        </r>
        <r>
          <rPr>
            <sz val="9"/>
            <color indexed="81"/>
            <rFont val="Tahoma"/>
            <family val="2"/>
          </rPr>
          <t xml:space="preserve">
Hourly rate for all medical staff. Single input.</t>
        </r>
      </text>
    </comment>
    <comment ref="C6" authorId="0" shapeId="0" xr:uid="{EE5055C9-50C8-46A4-8E5C-A232742BE2A0}">
      <text>
        <r>
          <rPr>
            <b/>
            <sz val="9"/>
            <color indexed="81"/>
            <rFont val="Tahoma"/>
            <family val="2"/>
          </rPr>
          <t xml:space="preserve">Organizer:</t>
        </r>
        <r>
          <rPr>
            <sz val="9"/>
            <color indexed="81"/>
            <rFont val="Tahoma"/>
            <family val="2"/>
          </rPr>
          <t xml:space="preserve">
Hours = sum of game slot durations (End minus Court Time) for games this person covers, from the Games Schedule medical staff column.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R3" authorId="0" shapeId="0" xr:uid="{FD1F2B01-0BA5-4877-9551-4430209EA1D0}">
      <text>
        <r>
          <rPr>
            <sz val="9"/>
            <color indexed="81"/>
            <rFont val="Tahoma"/>
            <charset val="1"/>
          </rPr>
          <t xml:space="preserve">Registration fee threshold: sourced from central Inputs tab.</t>
        </r>
      </text>
    </comment>
    <comment ref="R4" authorId="0" shapeId="0" xr:uid="{D7E43A19-C892-47E5-AF0B-27F5AD382B93}">
      <text>
        <r>
          <rPr>
            <b/>
            <sz val="9"/>
            <color indexed="81"/>
            <rFont val="Tahoma"/>
            <charset val="1"/>
          </rPr>
          <t xml:space="preserve">Organizer:</t>
        </r>
        <r>
          <rPr>
            <sz val="9"/>
            <color indexed="81"/>
            <rFont val="Tahoma"/>
            <charset val="1"/>
          </rPr>
          <t xml:space="preserve">
Max total teams: sourced from central Inputs tab.</t>
        </r>
      </text>
    </comment>
    <comment ref="A5" authorId="0" shapeId="0" xr:uid="{FA621FF5-90F6-4AD0-826D-D6EE5F99A69F}">
      <text>
        <r>
          <rPr>
            <b/>
            <sz val="9"/>
            <color indexed="81"/>
            <rFont val="Tahoma"/>
            <family val="2"/>
          </rPr>
          <t xml:space="preserve">Organizer:</t>
        </r>
        <r>
          <rPr>
            <sz val="9"/>
            <color indexed="81"/>
            <rFont val="Tahoma"/>
            <family val="2"/>
          </rPr>
          <t xml:space="preserve">
Naming rule: when a club has a team in both divisions, the women's team carries a W suffix (e.g. Redwood United W) so each team has a unique key the model can look up.</t>
        </r>
      </text>
    </comment>
    <comment ref="R5" authorId="0" shapeId="0" xr:uid="{79C32D01-6EB5-41F7-867C-183AC3E4A59B}">
      <text>
        <r>
          <rPr>
            <b/>
            <sz val="9"/>
            <color indexed="81"/>
            <rFont val="Tahoma"/>
            <charset val="1"/>
          </rPr>
          <t xml:space="preserve">Organizer:</t>
        </r>
        <r>
          <rPr>
            <sz val="9"/>
            <color indexed="81"/>
            <rFont val="Tahoma"/>
            <charset val="1"/>
          </rPr>
          <t xml:space="preserve">
Max men's teams: sourced from central Inputs tab.</t>
        </r>
      </text>
    </comment>
    <comment ref="A8" authorId="0" shapeId="0" xr:uid="{CEF4C053-13DE-4A79-A946-FAE350E32391}">
      <text>
        <r>
          <rPr>
            <b/>
            <sz val="9"/>
            <color indexed="81"/>
            <rFont val="Tahoma"/>
            <family val="2"/>
          </rPr>
          <t xml:space="preserve">Organizer:</t>
        </r>
        <r>
          <rPr>
            <sz val="9"/>
            <color indexed="81"/>
            <rFont val="Tahoma"/>
            <family val="2"/>
          </rPr>
          <t xml:space="preserve">
Each team name must be unique. Teams Master, the schedule and the rosters all look teams up by this exact name.</t>
        </r>
      </text>
    </comment>
    <comment ref="A28" authorId="0" shapeId="0" xr:uid="{AD826F77-3D5B-4598-A395-984B3D451C31}">
      <text>
        <r>
          <rPr>
            <b/>
            <sz val="9"/>
            <color indexed="81"/>
            <rFont val="Tahoma"/>
            <family val="2"/>
          </rPr>
          <t xml:space="preserve">Organizer:</t>
        </r>
        <r>
          <rPr>
            <sz val="9"/>
            <color indexed="81"/>
            <rFont val="Tahoma"/>
            <family val="2"/>
          </rPr>
          <t xml:space="preserve">
Add new invitees in the first empty row of the table (through row 40). An invited team with no payment keeps an empty Status.</t>
        </r>
      </text>
    </comment>
    <comment ref="B41" authorId="0" shapeId="0" xr:uid="{55CAE088-AA46-4D2C-869B-F8CCF910493E}">
      <text>
        <r>
          <rPr>
            <b/>
            <sz val="9"/>
            <color indexed="81"/>
            <rFont val="Tahoma"/>
            <family val="2"/>
          </rPr>
          <t xml:space="preserve">Organizer:</t>
        </r>
        <r>
          <rPr>
            <sz val="9"/>
            <color indexed="81"/>
            <rFont val="Tahoma"/>
            <family val="2"/>
          </rPr>
          <t xml:space="preserve">
Count of registered women's teams (Fully Registered + Host Registered). Counts the actual registration rows above, not a hardcoded number.</t>
        </r>
      </text>
    </comment>
    <comment ref="B42" authorId="0" shapeId="0" xr:uid="{9FC770DB-7325-48C4-B72B-DB59BEF7DE2E}">
      <text>
        <r>
          <rPr>
            <b/>
            <sz val="9"/>
            <color indexed="81"/>
            <rFont val="Tahoma"/>
            <family val="2"/>
          </rPr>
          <t xml:space="preserve">Organizer:</t>
        </r>
        <r>
          <rPr>
            <sz val="9"/>
            <color indexed="81"/>
            <rFont val="Tahoma"/>
            <family val="2"/>
          </rPr>
          <t xml:space="preserve">
Count of registered men's teams (Fully Registered + Host Registered).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B5" authorId="0" shapeId="0" xr:uid="{2D77B779-23E5-4DC4-9B84-92DABB7BED6D}">
      <text>
        <r>
          <rPr>
            <sz val="11"/>
            <color theme="1"/>
            <rFont val="Calibri"/>
            <scheme val="minor"/>
          </rPr>
          <t xml:space="preserve">Tournament date. Inputs!C22 = the tournament's Friday (Feb 12, 2027). 3-day formats (8M+4W, 6M+6W) run Fri → Sun starting from C22. The 4-day 8M+5W format starts one day earlier: Thu (1 evening game) → Fri → Sat → Sun. Day number is derived from the active format's games per day (Format Engine H14:H17).</t>
        </r>
      </text>
    </comment>
    <comment ref="D5" authorId="0" shapeId="0" xr:uid="{549C0461-FEDF-4DB4-B954-1E6E5833D748}">
      <text>
        <r>
          <rPr>
            <sz val="9"/>
            <color indexed="81"/>
            <rFont val="Tahoma"/>
            <charset val="1"/>
          </rPr>
          <t xml:space="preserve">Court start time. First game of each day pulls from Inputs day-start times; other games chain from the previous game's end. Adapts to the active format.</t>
        </r>
      </text>
    </comment>
    <comment ref="N5" authorId="0" shapeId="0" xr:uid="{E9EF4A6B-B151-4621-B0B5-81BB9BAC4BDE}">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5" authorId="0" shapeId="0" xr:uid="{503849F8-1863-40BE-BB98-FCB982212BC8}">
      <text>
        <r>
          <rPr>
            <b/>
            <sz val="9"/>
            <color indexed="81"/>
            <rFont val="Tahoma"/>
            <charset val="1"/>
          </rPr>
          <t xml:space="preserve">Organizer:</t>
        </r>
        <r>
          <rPr>
            <sz val="9"/>
            <color indexed="81"/>
            <rFont val="Tahoma"/>
            <charset val="1"/>
          </rPr>
          <t xml:space="preserve">
Team name resolved from the Group Code in M5 via Teams Master.</t>
        </r>
      </text>
    </comment>
    <comment ref="D6" authorId="0" shapeId="0" xr:uid="{AD0A9048-5DD3-4874-AAD2-7DE087BE9BCA}">
      <text>
        <r>
          <rPr>
            <sz val="9"/>
            <color indexed="81"/>
            <rFont val="Tahoma"/>
            <charset val="1"/>
          </rPr>
          <t xml:space="preserve">Court start time. Auto-reflows by format: first game of each day pulls from Inputs day-start times; other games chain from the previous game's end.</t>
        </r>
      </text>
    </comment>
    <comment ref="N6" authorId="0" shapeId="0" xr:uid="{E712803F-64F8-40AE-B90F-BB13585D36D2}">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6" authorId="0" shapeId="0" xr:uid="{E4251A3A-9DB1-4D5F-9AB0-831490391779}">
      <text>
        <r>
          <rPr>
            <b/>
            <sz val="9"/>
            <color indexed="81"/>
            <rFont val="Tahoma"/>
            <charset val="1"/>
          </rPr>
          <t xml:space="preserve">Organizer:</t>
        </r>
        <r>
          <rPr>
            <sz val="9"/>
            <color indexed="81"/>
            <rFont val="Tahoma"/>
            <charset val="1"/>
          </rPr>
          <t xml:space="preserve">
Team name resolved from the Group Code in M5 via Teams Master.</t>
        </r>
      </text>
    </comment>
    <comment ref="N7" authorId="0" shapeId="0" xr:uid="{D7E0DCC6-375C-42F2-A249-A10EE8DECCA3}">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7" authorId="0" shapeId="0" xr:uid="{FDB7F7EF-98CB-4E96-A07C-5ABBC2DA8118}">
      <text>
        <r>
          <rPr>
            <b/>
            <sz val="9"/>
            <color indexed="81"/>
            <rFont val="Tahoma"/>
            <charset val="1"/>
          </rPr>
          <t xml:space="preserve">Organizer:</t>
        </r>
        <r>
          <rPr>
            <sz val="9"/>
            <color indexed="81"/>
            <rFont val="Tahoma"/>
            <charset val="1"/>
          </rPr>
          <t xml:space="preserve">
Team name resolved from the Group Code in M5 via Teams Master.</t>
        </r>
      </text>
    </comment>
    <comment ref="N8" authorId="0" shapeId="0" xr:uid="{8544C55F-3B36-4681-81CB-624935FB06CB}">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8" authorId="0" shapeId="0" xr:uid="{C93756D1-3C7D-42F4-8878-04EA2534C521}">
      <text>
        <r>
          <rPr>
            <b/>
            <sz val="9"/>
            <color indexed="81"/>
            <rFont val="Tahoma"/>
            <charset val="1"/>
          </rPr>
          <t xml:space="preserve">Organizer:</t>
        </r>
        <r>
          <rPr>
            <sz val="9"/>
            <color indexed="81"/>
            <rFont val="Tahoma"/>
            <charset val="1"/>
          </rPr>
          <t xml:space="preserve">
Team name resolved from the Group Code in M5 via Teams Master.</t>
        </r>
      </text>
    </comment>
    <comment ref="N9" authorId="0" shapeId="0" xr:uid="{B99036BC-7C8B-47AB-86CE-77C6FBBBF359}">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9" authorId="0" shapeId="0" xr:uid="{23548A86-9DB9-42DD-9A4D-6CA96C890C9C}">
      <text>
        <r>
          <rPr>
            <b/>
            <sz val="9"/>
            <color indexed="81"/>
            <rFont val="Tahoma"/>
            <charset val="1"/>
          </rPr>
          <t xml:space="preserve">Organizer:</t>
        </r>
        <r>
          <rPr>
            <sz val="9"/>
            <color indexed="81"/>
            <rFont val="Tahoma"/>
            <charset val="1"/>
          </rPr>
          <t xml:space="preserve">
Team name resolved from the Group Code in M5 via Teams Master.</t>
        </r>
      </text>
    </comment>
    <comment ref="N10" authorId="0" shapeId="0" xr:uid="{176C4AC6-A313-4BB3-A9C7-5DDFCD5B58D3}">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10" authorId="0" shapeId="0" xr:uid="{E51B6386-59CE-449B-B59E-4440A7A9A7E6}">
      <text>
        <r>
          <rPr>
            <b/>
            <sz val="9"/>
            <color indexed="81"/>
            <rFont val="Tahoma"/>
            <charset val="1"/>
          </rPr>
          <t xml:space="preserve">Organizer:</t>
        </r>
        <r>
          <rPr>
            <sz val="9"/>
            <color indexed="81"/>
            <rFont val="Tahoma"/>
            <charset val="1"/>
          </rPr>
          <t xml:space="preserve">
Team name resolved from the Group Code in M5 via Teams Master.</t>
        </r>
      </text>
    </comment>
    <comment ref="N11" authorId="0" shapeId="0" xr:uid="{A1D4931F-99BD-4FA8-A56F-F76841777FFB}">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11" authorId="0" shapeId="0" xr:uid="{0CBF0ED2-471E-44DA-BD94-15EEC5009244}">
      <text>
        <r>
          <rPr>
            <b/>
            <sz val="9"/>
            <color indexed="81"/>
            <rFont val="Tahoma"/>
            <charset val="1"/>
          </rPr>
          <t xml:space="preserve">Organizer:</t>
        </r>
        <r>
          <rPr>
            <sz val="9"/>
            <color indexed="81"/>
            <rFont val="Tahoma"/>
            <charset val="1"/>
          </rPr>
          <t xml:space="preserve">
Team name resolved from the Group Code in M5 via Teams Master.</t>
        </r>
      </text>
    </comment>
    <comment ref="D12" authorId="0" shapeId="0" xr:uid="{D0F73ADD-328D-431F-9389-C7BA3347BAD4}">
      <text>
        <r>
          <rPr>
            <sz val="9"/>
            <color indexed="81"/>
            <rFont val="Tahoma"/>
            <charset val="1"/>
          </rPr>
          <t xml:space="preserve">Court start time (dynamic). Pulls a fresh day-start from Inputs only when this game is the first of a new day in the active format.</t>
        </r>
      </text>
    </comment>
    <comment ref="N12" authorId="0" shapeId="0" xr:uid="{3F25232D-85B5-48E2-8C77-C2E1DFD4D802}">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12" authorId="0" shapeId="0" xr:uid="{31B067E8-E6E6-45A1-9731-B4964F98395E}">
      <text>
        <r>
          <rPr>
            <b/>
            <sz val="9"/>
            <color indexed="81"/>
            <rFont val="Tahoma"/>
            <charset val="1"/>
          </rPr>
          <t xml:space="preserve">Organizer:</t>
        </r>
        <r>
          <rPr>
            <sz val="9"/>
            <color indexed="81"/>
            <rFont val="Tahoma"/>
            <charset val="1"/>
          </rPr>
          <t xml:space="preserve">
Team name resolved from the Group Code in M5 via Teams Master.</t>
        </r>
      </text>
    </comment>
    <comment ref="X12" authorId="0" shapeId="0" xr:uid="{00000000-0006-0000-0400-000001000000}">
      <text>
        <r>
          <rPr>
            <sz val="11"/>
            <color theme="1"/>
            <rFont val="Calibri"/>
            <scheme val="minor"/>
          </rPr>
          <t xml:space="preserve">Volunteer slot confirmed with the volunteer coordinator. Keep this name here.</t>
        </r>
      </text>
    </comment>
    <comment ref="N13" authorId="0" shapeId="0" xr:uid="{5BA212A3-0C3F-4B5B-AB17-BC8F7242F4C1}">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13" authorId="0" shapeId="0" xr:uid="{6F5D67D1-3D9F-4072-ACB3-9DEDBDA68BAE}">
      <text>
        <r>
          <rPr>
            <b/>
            <sz val="9"/>
            <color indexed="81"/>
            <rFont val="Tahoma"/>
            <charset val="1"/>
          </rPr>
          <t xml:space="preserve">Organizer:</t>
        </r>
        <r>
          <rPr>
            <sz val="9"/>
            <color indexed="81"/>
            <rFont val="Tahoma"/>
            <charset val="1"/>
          </rPr>
          <t xml:space="preserve">
Team name resolved from the Group Code in M5 via Teams Master.</t>
        </r>
      </text>
    </comment>
    <comment ref="N14" authorId="0" shapeId="0" xr:uid="{3E2B03B7-2ED9-4661-ACCF-C6D1CCEBFF35}">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14" authorId="0" shapeId="0" xr:uid="{3404E167-DB77-4A10-AFC3-917F26DA25E4}">
      <text>
        <r>
          <rPr>
            <b/>
            <sz val="9"/>
            <color indexed="81"/>
            <rFont val="Tahoma"/>
            <charset val="1"/>
          </rPr>
          <t xml:space="preserve">Organizer:</t>
        </r>
        <r>
          <rPr>
            <sz val="9"/>
            <color indexed="81"/>
            <rFont val="Tahoma"/>
            <charset val="1"/>
          </rPr>
          <t xml:space="preserve">
Team name resolved from the Group Code in M5 via Teams Master.</t>
        </r>
      </text>
    </comment>
    <comment ref="N15" authorId="0" shapeId="0" xr:uid="{F59A723C-A318-4E68-AB86-D37743102841}">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15" authorId="0" shapeId="0" xr:uid="{F8307DBF-AE89-4C96-9F01-E2FB6B8D632A}">
      <text>
        <r>
          <rPr>
            <b/>
            <sz val="9"/>
            <color indexed="81"/>
            <rFont val="Tahoma"/>
            <charset val="1"/>
          </rPr>
          <t xml:space="preserve">Organizer:</t>
        </r>
        <r>
          <rPr>
            <sz val="9"/>
            <color indexed="81"/>
            <rFont val="Tahoma"/>
            <charset val="1"/>
          </rPr>
          <t xml:space="preserve">
Team name resolved from the Group Code in M5 via Teams Master.</t>
        </r>
      </text>
    </comment>
    <comment ref="N16" authorId="0" shapeId="0" xr:uid="{03CBBCF5-4D79-4329-B7DE-96024FBE1BBD}">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16" authorId="0" shapeId="0" xr:uid="{C1CB7157-4F2A-461D-8602-63F48B3AF8F9}">
      <text>
        <r>
          <rPr>
            <b/>
            <sz val="9"/>
            <color indexed="81"/>
            <rFont val="Tahoma"/>
            <charset val="1"/>
          </rPr>
          <t xml:space="preserve">Organizer:</t>
        </r>
        <r>
          <rPr>
            <sz val="9"/>
            <color indexed="81"/>
            <rFont val="Tahoma"/>
            <charset val="1"/>
          </rPr>
          <t xml:space="preserve">
Team name resolved from the Group Code in M5 via Teams Master.</t>
        </r>
      </text>
    </comment>
    <comment ref="N17" authorId="0" shapeId="0" xr:uid="{E57AE7C4-3165-408B-A07C-65A2900E004F}">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17" authorId="0" shapeId="0" xr:uid="{B9EFA452-228E-41E3-B0AE-81B83E577099}">
      <text>
        <r>
          <rPr>
            <b/>
            <sz val="9"/>
            <color indexed="81"/>
            <rFont val="Tahoma"/>
            <charset val="1"/>
          </rPr>
          <t xml:space="preserve">Organizer:</t>
        </r>
        <r>
          <rPr>
            <sz val="9"/>
            <color indexed="81"/>
            <rFont val="Tahoma"/>
            <charset val="1"/>
          </rPr>
          <t xml:space="preserve">
Team name resolved from the Group Code in M5 via Teams Master.</t>
        </r>
      </text>
    </comment>
    <comment ref="N18" authorId="0" shapeId="0" xr:uid="{EC42D965-5537-4C98-B1AF-D5CD0A1B3173}">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18" authorId="0" shapeId="0" xr:uid="{F4ECAABD-231F-41BB-AFF9-3B0F79740FDC}">
      <text>
        <r>
          <rPr>
            <b/>
            <sz val="9"/>
            <color indexed="81"/>
            <rFont val="Tahoma"/>
            <charset val="1"/>
          </rPr>
          <t xml:space="preserve">Organizer:</t>
        </r>
        <r>
          <rPr>
            <sz val="9"/>
            <color indexed="81"/>
            <rFont val="Tahoma"/>
            <charset val="1"/>
          </rPr>
          <t xml:space="preserve">
Team name resolved from the Group Code in M5 via Teams Master.</t>
        </r>
      </text>
    </comment>
    <comment ref="N19" authorId="0" shapeId="0" xr:uid="{82039C08-DE3C-4859-8751-3520F1F89F7E}">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19" authorId="0" shapeId="0" xr:uid="{8B7C3C8F-7A15-4A5F-A279-77952FAE2331}">
      <text>
        <r>
          <rPr>
            <b/>
            <sz val="9"/>
            <color indexed="81"/>
            <rFont val="Tahoma"/>
            <charset val="1"/>
          </rPr>
          <t xml:space="preserve">Organizer:</t>
        </r>
        <r>
          <rPr>
            <sz val="9"/>
            <color indexed="81"/>
            <rFont val="Tahoma"/>
            <charset val="1"/>
          </rPr>
          <t xml:space="preserve">
Team name resolved from the Group Code in M5 via Teams Master.</t>
        </r>
      </text>
    </comment>
    <comment ref="N20" authorId="0" shapeId="0" xr:uid="{EF6BDB11-8211-4742-A39C-9E6CEC7AA016}">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20" authorId="0" shapeId="0" xr:uid="{CB35F1ED-8126-46FA-A55E-9620D1D4F991}">
      <text>
        <r>
          <rPr>
            <b/>
            <sz val="9"/>
            <color indexed="81"/>
            <rFont val="Tahoma"/>
            <charset val="1"/>
          </rPr>
          <t xml:space="preserve">Organizer:</t>
        </r>
        <r>
          <rPr>
            <sz val="9"/>
            <color indexed="81"/>
            <rFont val="Tahoma"/>
            <charset val="1"/>
          </rPr>
          <t xml:space="preserve">
Team name resolved from the Group Code in M5 via Teams Master.</t>
        </r>
      </text>
    </comment>
    <comment ref="N21" authorId="0" shapeId="0" xr:uid="{27732A36-1637-4E4A-98A5-2F4365695CB4}">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21" authorId="0" shapeId="0" xr:uid="{BCA3D5A6-171C-4297-AE2D-ACA7848D30B2}">
      <text>
        <r>
          <rPr>
            <b/>
            <sz val="9"/>
            <color indexed="81"/>
            <rFont val="Tahoma"/>
            <charset val="1"/>
          </rPr>
          <t xml:space="preserve">Organizer:</t>
        </r>
        <r>
          <rPr>
            <sz val="9"/>
            <color indexed="81"/>
            <rFont val="Tahoma"/>
            <charset val="1"/>
          </rPr>
          <t xml:space="preserve">
Team name resolved from the Group Code in M5 via Teams Master.</t>
        </r>
      </text>
    </comment>
    <comment ref="N22" authorId="0" shapeId="0" xr:uid="{5E4270E8-E0B2-4370-BC9C-6A1E4962172D}">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22" authorId="0" shapeId="0" xr:uid="{3A44F08A-75A5-47C0-A2B6-DCD68C8950E4}">
      <text>
        <r>
          <rPr>
            <b/>
            <sz val="9"/>
            <color indexed="81"/>
            <rFont val="Tahoma"/>
            <charset val="1"/>
          </rPr>
          <t xml:space="preserve">Organizer:</t>
        </r>
        <r>
          <rPr>
            <sz val="9"/>
            <color indexed="81"/>
            <rFont val="Tahoma"/>
            <charset val="1"/>
          </rPr>
          <t xml:space="preserve">
Team name resolved from the Group Code in M5 via Teams Master.</t>
        </r>
      </text>
    </comment>
    <comment ref="N23" authorId="0" shapeId="0" xr:uid="{B7021686-EECC-48A5-A6A9-65377C2FD37C}">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23" authorId="0" shapeId="0" xr:uid="{A3B97365-A306-406F-8D32-415350BD69C5}">
      <text>
        <r>
          <rPr>
            <b/>
            <sz val="9"/>
            <color indexed="81"/>
            <rFont val="Tahoma"/>
            <charset val="1"/>
          </rPr>
          <t xml:space="preserve">Organizer:</t>
        </r>
        <r>
          <rPr>
            <sz val="9"/>
            <color indexed="81"/>
            <rFont val="Tahoma"/>
            <charset val="1"/>
          </rPr>
          <t xml:space="preserve">
Team name resolved from the Group Code in M5 via Teams Master.</t>
        </r>
      </text>
    </comment>
    <comment ref="N24" authorId="0" shapeId="0" xr:uid="{63D12B33-92E0-478D-8055-104C78FA053B}">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24" authorId="0" shapeId="0" xr:uid="{EFC4FDE2-CA74-4EB4-B8F4-F01C338155DA}">
      <text>
        <r>
          <rPr>
            <b/>
            <sz val="9"/>
            <color indexed="81"/>
            <rFont val="Tahoma"/>
            <charset val="1"/>
          </rPr>
          <t xml:space="preserve">Organizer:</t>
        </r>
        <r>
          <rPr>
            <sz val="9"/>
            <color indexed="81"/>
            <rFont val="Tahoma"/>
            <charset val="1"/>
          </rPr>
          <t xml:space="preserve">
Team name resolved from the Group Code in M5 via Teams Master.</t>
        </r>
      </text>
    </comment>
    <comment ref="D25" authorId="0" shapeId="0" xr:uid="{D47A25E6-1FB2-4182-9EE0-8A14876D589C}">
      <text>
        <r>
          <rPr>
            <sz val="9"/>
            <color indexed="81"/>
            <rFont val="Tahoma"/>
            <charset val="1"/>
          </rPr>
          <t xml:space="preserve">Court start time (dynamic). Pulls a fresh day-start from Inputs only when this game is the first of a new day in the active format.</t>
        </r>
      </text>
    </comment>
    <comment ref="N25" authorId="0" shapeId="0" xr:uid="{39F4F409-8031-4A6B-B4AF-607143C3D631}">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25" authorId="0" shapeId="0" xr:uid="{57D08744-E418-4815-864C-200EDFD68544}">
      <text>
        <r>
          <rPr>
            <b/>
            <sz val="9"/>
            <color indexed="81"/>
            <rFont val="Tahoma"/>
            <charset val="1"/>
          </rPr>
          <t xml:space="preserve">Organizer:</t>
        </r>
        <r>
          <rPr>
            <sz val="9"/>
            <color indexed="81"/>
            <rFont val="Tahoma"/>
            <charset val="1"/>
          </rPr>
          <t xml:space="preserve">
Team name resolved from the Group Code in M5 via Teams Master.</t>
        </r>
      </text>
    </comment>
    <comment ref="N26" authorId="0" shapeId="0" xr:uid="{A75D085F-D580-4865-B599-657863FB2FDE}">
      <text>
        <r>
          <rPr>
            <b/>
            <sz val="9"/>
            <color indexed="81"/>
            <rFont val="Tahoma"/>
            <charset val="1"/>
          </rPr>
          <t xml:space="preserve">Organizer:</t>
        </r>
        <r>
          <rPr>
            <sz val="9"/>
            <color indexed="81"/>
            <rFont val="Tahoma"/>
            <charset val="1"/>
          </rPr>
          <t xml:space="preserve">
Team name resolved from the Group Code in L5 via Teams Master. Change the code, the name follows. Single source = Teams Master.</t>
        </r>
      </text>
    </comment>
    <comment ref="O26" authorId="0" shapeId="0" xr:uid="{0664B0E5-81D9-4237-AA84-268B154540F0}">
      <text>
        <r>
          <rPr>
            <b/>
            <sz val="9"/>
            <color indexed="81"/>
            <rFont val="Tahoma"/>
            <charset val="1"/>
          </rPr>
          <t xml:space="preserve">Organizer:</t>
        </r>
        <r>
          <rPr>
            <sz val="9"/>
            <color indexed="81"/>
            <rFont val="Tahoma"/>
            <charset val="1"/>
          </rPr>
          <t xml:space="preserve">
Team name resolved from the Group Code in M5 via Teams Master.</t>
        </r>
      </text>
    </comment>
    <comment ref="N27" authorId="0" shapeId="0" xr:uid="{452A0C01-2E30-47A9-B67E-33E4C2CAF9F6}">
      <text>
        <r>
          <rPr>
            <sz val="9"/>
            <color indexed="81"/>
            <rFont val="Tahoma"/>
            <charset val="1"/>
          </rPr>
          <t xml:space="preserve">7th-place game: Group A 4th.</t>
        </r>
      </text>
    </comment>
    <comment ref="O27" authorId="0" shapeId="0" xr:uid="{49645C1E-3CFA-4973-883B-7D8A516B42EC}">
      <text>
        <r>
          <rPr>
            <sz val="9"/>
            <color indexed="81"/>
            <rFont val="Tahoma"/>
            <charset val="1"/>
          </rPr>
          <t xml:space="preserve">7th-place game: Group B 4th.</t>
        </r>
      </text>
    </comment>
    <comment ref="N28" authorId="0" shapeId="0" xr:uid="{73D38AB7-6EFE-4006-9F3F-49808DF2FAE6}">
      <text>
        <r>
          <rPr>
            <sz val="9"/>
            <color indexed="81"/>
            <rFont val="Tahoma"/>
            <charset val="1"/>
          </rPr>
          <t xml:space="preserve">5th-place game: Group A 3rd.</t>
        </r>
      </text>
    </comment>
    <comment ref="O28" authorId="0" shapeId="0" xr:uid="{08CB6E96-DE5B-4300-8215-95A8B85349E4}">
      <text>
        <r>
          <rPr>
            <sz val="9"/>
            <color indexed="81"/>
            <rFont val="Tahoma"/>
            <charset val="1"/>
          </rPr>
          <t xml:space="preserve">5th-place game: Group B 3rd.</t>
        </r>
      </text>
    </comment>
    <comment ref="N29" authorId="0" shapeId="0" xr:uid="{A3FBC398-289D-489F-BB99-58B7B1AEB4B1}">
      <text>
        <r>
          <rPr>
            <sz val="9"/>
            <color indexed="81"/>
            <rFont val="Tahoma"/>
            <charset val="1"/>
          </rPr>
          <t xml:space="preserve">3rd-place game: Group A 2nd (2nd-highest rank score).</t>
        </r>
      </text>
    </comment>
    <comment ref="O29" authorId="0" shapeId="0" xr:uid="{C0FBD499-884A-46F9-8A96-29C051AB374A}">
      <text>
        <r>
          <rPr>
            <sz val="9"/>
            <color indexed="81"/>
            <rFont val="Tahoma"/>
            <charset val="1"/>
          </rPr>
          <t xml:space="preserve">3rd-place game: Group B 2nd.</t>
        </r>
      </text>
    </comment>
    <comment ref="N30" authorId="0" shapeId="0" xr:uid="{69ADF2C3-FA3C-495E-941F-A6CB0EFB22D4}">
      <text>
        <r>
          <rPr>
            <sz val="9"/>
            <color indexed="81"/>
            <rFont val="Tahoma"/>
            <charset val="1"/>
          </rPr>
          <t xml:space="preserve">WOMEN'S CHAMPIONSHIP: women's group winner = highest rank score (points, then goal difference) in Rankings G17:G21. Live from group-phase results.</t>
        </r>
      </text>
    </comment>
    <comment ref="O30" authorId="0" shapeId="0" xr:uid="{4831D259-6C3A-45CC-851E-6FF44827C065}">
      <text>
        <r>
          <rPr>
            <sz val="9"/>
            <color indexed="81"/>
            <rFont val="Tahoma"/>
            <charset val="1"/>
          </rPr>
          <t xml:space="preserve">WOMEN'S CHAMPIONSHIP: women's runner-up = 2nd-highest rank score.</t>
        </r>
      </text>
    </comment>
    <comment ref="N31" authorId="0" shapeId="0" xr:uid="{07004A37-CA2B-4CFB-AF83-4C4FB7D00000}">
      <text>
        <r>
          <rPr>
            <sz val="9"/>
            <color indexed="81"/>
            <rFont val="Tahoma"/>
            <charset val="1"/>
          </rPr>
          <t xml:space="preserve">MEN'S CHAMPIONSHIP: Group A winner = highest rank score (points, then goal difference) in Rankings G3:G6. Live from group-phase results.</t>
        </r>
      </text>
    </comment>
    <comment ref="O31" authorId="0" shapeId="0" xr:uid="{8AB2670B-0CF5-4CD2-BE93-D662C7162B44}">
      <text>
        <r>
          <rPr>
            <sz val="9"/>
            <color indexed="81"/>
            <rFont val="Tahoma"/>
            <charset val="1"/>
          </rPr>
          <t xml:space="preserve">MEN'S CHAMPIONSHIP: Group B winner = highest rank score in Rankings G10:G13.</t>
        </r>
      </text>
    </comment>
    <comment ref="C35" authorId="0" shapeId="0" xr:uid="{050B8253-E749-47E3-81EA-4C1225FB6A6E}">
      <text>
        <r>
          <rPr>
            <b/>
            <sz val="9"/>
            <color indexed="81"/>
            <rFont val="Tahoma"/>
            <family val="2"/>
          </rPr>
          <t xml:space="preserve">Organizer:</t>
        </r>
        <r>
          <rPr>
            <sz val="9"/>
            <color indexed="81"/>
            <rFont val="Tahoma"/>
            <family val="2"/>
          </rPr>
          <t xml:space="preserve">
Warm-up minutes: now sourced from the central Inputs tab.</t>
        </r>
      </text>
    </comment>
    <comment ref="Q40" authorId="0" shapeId="0" xr:uid="{8BF2A916-BBFE-4689-AD60-0462D9725CD9}">
      <text>
        <r>
          <rPr>
            <b/>
            <sz val="9"/>
            <color indexed="81"/>
            <rFont val="Tahoma"/>
            <charset val="1"/>
          </rPr>
          <t xml:space="preserve">Organizer:</t>
        </r>
        <r>
          <rPr>
            <sz val="9"/>
            <color indexed="81"/>
            <rFont val="Tahoma"/>
            <charset val="1"/>
          </rPr>
          <t xml:space="preserve">
Reconciliation: total pair game assignments (5 pairs, Q35:Q39) minus total games played. Should be 0 when every game has a referee pair assigned.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D6" authorId="0" shapeId="0" xr:uid="{48812D5C-4B40-4388-A4F3-1B2D7B250E8E}">
      <text>
        <r>
          <rPr>
            <sz val="9"/>
            <color indexed="81"/>
            <rFont val="Tahoma"/>
            <family val="2"/>
          </rPr>
          <t xml:space="preserve">Rank of this team's random key within its pool (1 = highest). Host club teams are ranked among themselves; all other teams among the non-host teams.</t>
        </r>
      </text>
    </comment>
    <comment ref="E6" authorId="0" shapeId="0" xr:uid="{10FC32BE-EBFF-4AB6-AD33-C1737A7DE7D9}">
      <text>
        <r>
          <rPr>
            <sz val="9"/>
            <color indexed="81"/>
            <rFont val="Tahoma"/>
            <family val="2"/>
          </rPr>
          <t xml:space="preserve">Host club teams: rank 1 (higher key) goes to A, the other to B (different groups guaranteed). Other teams: top keys fill Group A, the rest Group B.</t>
        </r>
      </text>
    </comment>
    <comment ref="F6" authorId="0" shapeId="0" xr:uid="{CA00DFFB-ABA6-485D-B48A-9E867B25CBB0}">
      <text>
        <r>
          <rPr>
            <sz val="9"/>
            <color indexed="81"/>
            <rFont val="Tahoma"/>
            <charset val="1"/>
          </rPr>
          <t xml:space="preserve">Final Group Code = group letter + position within group, ordered by the random key (unique, so no duplicate codes). Produces unique A1-A4 / B1-B4.</t>
        </r>
      </text>
    </comment>
    <comment ref="D7" authorId="0" shapeId="0" xr:uid="{2BF043C7-847E-4C18-8C29-6592A74266F9}">
      <text>
        <r>
          <rPr>
            <sz val="9"/>
            <color indexed="81"/>
            <rFont val="Tahoma"/>
            <family val="2"/>
          </rPr>
          <t xml:space="preserve">Rank of this team's random key within its pool (1 = highest). Host club teams are ranked among themselves; all other teams among the non-host teams.</t>
        </r>
      </text>
    </comment>
    <comment ref="E7" authorId="0" shapeId="0" xr:uid="{AFBB5538-3BD7-453C-99EA-E55F76E23495}">
      <text>
        <r>
          <rPr>
            <sz val="9"/>
            <color indexed="81"/>
            <rFont val="Tahoma"/>
            <family val="2"/>
          </rPr>
          <t xml:space="preserve">Host club teams: rank 1 (higher key) goes to A, the other to B (different groups guaranteed). Other teams: top keys fill Group A, the rest Group B.</t>
        </r>
      </text>
    </comment>
    <comment ref="F7" authorId="0" shapeId="0" xr:uid="{81CF5922-D153-47F5-AC14-3FC50CE92EBA}">
      <text>
        <r>
          <rPr>
            <sz val="9"/>
            <color indexed="81"/>
            <rFont val="Tahoma"/>
            <charset val="1"/>
          </rPr>
          <t xml:space="preserve">Final Group Code = group letter + position within group, ordered by the random key (unique, so no duplicate codes). Produces unique A1-A4 / B1-B4.</t>
        </r>
      </text>
    </comment>
    <comment ref="D8" authorId="0" shapeId="0" xr:uid="{E1087AF5-AFF8-4F53-A237-6701CF0EA4F7}">
      <text>
        <r>
          <rPr>
            <sz val="9"/>
            <color indexed="81"/>
            <rFont val="Tahoma"/>
            <family val="2"/>
          </rPr>
          <t xml:space="preserve">Rank of this team's random key within its pool (1 = highest). Host club teams are ranked among themselves; all other teams among the non-host teams.</t>
        </r>
      </text>
    </comment>
    <comment ref="E8" authorId="0" shapeId="0" xr:uid="{B78FFC0B-8ADB-404D-93E3-AF4FE1207892}">
      <text>
        <r>
          <rPr>
            <sz val="9"/>
            <color indexed="81"/>
            <rFont val="Tahoma"/>
            <family val="2"/>
          </rPr>
          <t xml:space="preserve">Host club teams: rank 1 (higher key) goes to A, the other to B (different groups guaranteed). Other teams: top keys fill Group A, the rest Group B.</t>
        </r>
      </text>
    </comment>
    <comment ref="F8" authorId="0" shapeId="0" xr:uid="{AF331E28-E11C-4A4B-A72F-61CE34F37239}">
      <text>
        <r>
          <rPr>
            <sz val="9"/>
            <color indexed="81"/>
            <rFont val="Tahoma"/>
            <charset val="1"/>
          </rPr>
          <t xml:space="preserve">Final Group Code = group letter + position within group, ordered by the random key (unique, so no duplicate codes). Produces unique A1-A4 / B1-B4.</t>
        </r>
      </text>
    </comment>
    <comment ref="D9" authorId="0" shapeId="0" xr:uid="{2C7E121B-6FC0-4A06-B748-1A05347D6ABA}">
      <text>
        <r>
          <rPr>
            <sz val="9"/>
            <color indexed="81"/>
            <rFont val="Tahoma"/>
            <family val="2"/>
          </rPr>
          <t xml:space="preserve">Rank of this team's random key within its pool (1 = highest). Host club teams are ranked among themselves; all other teams among the non-host teams.</t>
        </r>
      </text>
    </comment>
    <comment ref="E9" authorId="0" shapeId="0" xr:uid="{2130A6EF-C684-45E8-9B96-E3BCD57FA34A}">
      <text>
        <r>
          <rPr>
            <sz val="9"/>
            <color indexed="81"/>
            <rFont val="Tahoma"/>
            <family val="2"/>
          </rPr>
          <t xml:space="preserve">Host club teams: rank 1 (higher key) goes to A, the other to B (different groups guaranteed). Other teams: top keys fill Group A, the rest Group B.</t>
        </r>
      </text>
    </comment>
    <comment ref="F9" authorId="0" shapeId="0" xr:uid="{289132F3-333D-4321-B60A-CE5DED780A6E}">
      <text>
        <r>
          <rPr>
            <sz val="9"/>
            <color indexed="81"/>
            <rFont val="Tahoma"/>
            <charset val="1"/>
          </rPr>
          <t xml:space="preserve">Final Group Code = group letter + position within group, ordered by the random key (unique, so no duplicate codes). Produces unique A1-A4 / B1-B4.</t>
        </r>
      </text>
    </comment>
    <comment ref="D10" authorId="0" shapeId="0" xr:uid="{1FD786A4-44D3-4ACC-9BC7-7A5D4CEA199F}">
      <text>
        <r>
          <rPr>
            <sz val="9"/>
            <color indexed="81"/>
            <rFont val="Tahoma"/>
            <family val="2"/>
          </rPr>
          <t xml:space="preserve">Rank of this team's random key within its pool (1 = highest). Host club teams are ranked among themselves; all other teams among the non-host teams.</t>
        </r>
      </text>
    </comment>
    <comment ref="E10" authorId="0" shapeId="0" xr:uid="{31A2A524-B848-4FA2-A87B-9707CE27BEE0}">
      <text>
        <r>
          <rPr>
            <sz val="9"/>
            <color indexed="81"/>
            <rFont val="Tahoma"/>
            <family val="2"/>
          </rPr>
          <t xml:space="preserve">Host club teams: rank 1 (higher key) goes to A, the other to B (different groups guaranteed). Other teams: top keys fill Group A, the rest Group B.</t>
        </r>
      </text>
    </comment>
    <comment ref="F10" authorId="0" shapeId="0" xr:uid="{159B314C-C355-424C-AC4A-E76164E0D2E5}">
      <text>
        <r>
          <rPr>
            <sz val="9"/>
            <color indexed="81"/>
            <rFont val="Tahoma"/>
            <charset val="1"/>
          </rPr>
          <t xml:space="preserve">Final Group Code = group letter + position within group, ordered by the random key (unique, so no duplicate codes). Produces unique A1-A4 / B1-B4.</t>
        </r>
      </text>
    </comment>
    <comment ref="D11" authorId="0" shapeId="0" xr:uid="{D96341BC-D08E-4A5D-988F-D439FECC3221}">
      <text>
        <r>
          <rPr>
            <sz val="9"/>
            <color indexed="81"/>
            <rFont val="Tahoma"/>
            <family val="2"/>
          </rPr>
          <t xml:space="preserve">Rank of this team's random key within its pool (1 = highest). Host club teams are ranked among themselves; all other teams among the non-host teams.</t>
        </r>
      </text>
    </comment>
    <comment ref="E11" authorId="0" shapeId="0" xr:uid="{3A98FDA6-E9FE-411D-97D6-F1786FDB6AA9}">
      <text>
        <r>
          <rPr>
            <sz val="9"/>
            <color indexed="81"/>
            <rFont val="Tahoma"/>
            <family val="2"/>
          </rPr>
          <t xml:space="preserve">Host club teams: rank 1 (higher key) goes to A, the other to B (different groups guaranteed). Other teams: top keys fill Group A, the rest Group B.</t>
        </r>
      </text>
    </comment>
    <comment ref="F11" authorId="0" shapeId="0" xr:uid="{4B3C2722-ADF1-439C-96DB-0B2BDFF82B2F}">
      <text>
        <r>
          <rPr>
            <sz val="9"/>
            <color indexed="81"/>
            <rFont val="Tahoma"/>
            <charset val="1"/>
          </rPr>
          <t xml:space="preserve">Final Group Code = group letter + position within group, ordered by the random key (unique, so no duplicate codes). Produces unique A1-A4 / B1-B4.</t>
        </r>
      </text>
    </comment>
    <comment ref="D12" authorId="0" shapeId="0" xr:uid="{9B5E7C39-5A8F-4313-8C08-24B8A942B4B6}">
      <text>
        <r>
          <rPr>
            <sz val="9"/>
            <color indexed="81"/>
            <rFont val="Tahoma"/>
            <family val="2"/>
          </rPr>
          <t xml:space="preserve">Rank of this team's random key within its pool (1 = highest). Host club teams are ranked among themselves; all other teams among the non-host teams.</t>
        </r>
      </text>
    </comment>
    <comment ref="E12" authorId="0" shapeId="0" xr:uid="{86471C8B-7C48-4D8D-A85C-51F7CFEFDF14}">
      <text>
        <r>
          <rPr>
            <sz val="9"/>
            <color indexed="81"/>
            <rFont val="Tahoma"/>
            <family val="2"/>
          </rPr>
          <t xml:space="preserve">Host club teams: rank 1 (higher key) goes to A, the other to B (different groups guaranteed). Other teams: top keys fill Group A, the rest Group B.</t>
        </r>
      </text>
    </comment>
    <comment ref="F12" authorId="0" shapeId="0" xr:uid="{65A48341-BC9F-428A-8ACA-C0C72FECDD76}">
      <text>
        <r>
          <rPr>
            <sz val="9"/>
            <color indexed="81"/>
            <rFont val="Tahoma"/>
            <charset val="1"/>
          </rPr>
          <t xml:space="preserve">Final Group Code = group letter + position within group, ordered by the random key (unique, so no duplicate codes). Produces unique A1-A4 / B1-B4.</t>
        </r>
      </text>
    </comment>
    <comment ref="D13" authorId="0" shapeId="0" xr:uid="{3A314DE6-6AC9-4CDF-A721-5CADCC746B4C}">
      <text>
        <r>
          <rPr>
            <sz val="9"/>
            <color indexed="81"/>
            <rFont val="Tahoma"/>
            <family val="2"/>
          </rPr>
          <t xml:space="preserve">Rank of this team's random key within its pool (1 = highest). Host club teams are ranked among themselves; all other teams among the non-host teams.</t>
        </r>
      </text>
    </comment>
    <comment ref="E13" authorId="0" shapeId="0" xr:uid="{BD8A7375-1B6C-42A6-8747-3EC0F5048693}">
      <text>
        <r>
          <rPr>
            <sz val="9"/>
            <color indexed="81"/>
            <rFont val="Tahoma"/>
            <family val="2"/>
          </rPr>
          <t xml:space="preserve">Host club teams: rank 1 (higher key) goes to A, the other to B (different groups guaranteed). Other teams: top keys fill Group A, the rest Group B.</t>
        </r>
      </text>
    </comment>
    <comment ref="F13" authorId="0" shapeId="0" xr:uid="{6C04024F-F50A-4440-BCB2-4933E1C8686F}">
      <text>
        <r>
          <rPr>
            <sz val="9"/>
            <color indexed="81"/>
            <rFont val="Tahoma"/>
            <charset val="1"/>
          </rPr>
          <t xml:space="preserve">Final Group Code = group letter + position within group, ordered by the random key (unique, so no duplicate codes). Produces unique A1-A4 / B1-B4.</t>
        </r>
      </text>
    </comment>
    <comment ref="K16" authorId="0" shapeId="0" xr:uid="{2A06A415-22FF-44FE-871C-983654E17AAF}">
      <text>
        <r>
          <rPr>
            <b/>
            <sz val="9"/>
            <color indexed="81"/>
            <rFont val="Tahoma"/>
            <family val="2"/>
          </rPr>
          <t xml:space="preserve">Organizer:</t>
        </r>
        <r>
          <rPr>
            <sz val="9"/>
            <color indexed="81"/>
            <rFont val="Tahoma"/>
            <family val="2"/>
          </rPr>
          <t xml:space="preserve">
List below is the 8M+5W reference. Actual valid codes depend on the active format. 8M+4W: A1 to A4 / B1 to B4 / W1 to W4; 6M+6W: A1 to A3 / B1 to B3 / WA1 to WA3 / WB1 to WB3.</t>
        </r>
      </text>
    </comment>
    <comment ref="F17" authorId="0" shapeId="0" xr:uid="{BF1D64A7-4D3B-420E-A3C0-0EF990A66D1B}">
      <text>
        <r>
          <rPr>
            <sz val="9"/>
            <color indexed="81"/>
            <rFont val="Tahoma"/>
            <charset val="1"/>
          </rPr>
          <t xml:space="preserve">Women's Group Code = W + position ordered by random key. Produces unique W1-W5.</t>
        </r>
      </text>
    </comment>
    <comment ref="F18" authorId="0" shapeId="0" xr:uid="{9D1A84E9-1F89-44D7-8F49-6BD4EA307E5C}">
      <text>
        <r>
          <rPr>
            <sz val="9"/>
            <color indexed="81"/>
            <rFont val="Tahoma"/>
            <charset val="1"/>
          </rPr>
          <t xml:space="preserve">Women's Group Code = W + position ordered by random key. Produces unique W1-W5.</t>
        </r>
      </text>
    </comment>
    <comment ref="F19" authorId="0" shapeId="0" xr:uid="{0B2B1AF5-C645-48EE-B509-7F8F4C3BC159}">
      <text>
        <r>
          <rPr>
            <sz val="9"/>
            <color indexed="81"/>
            <rFont val="Tahoma"/>
            <charset val="1"/>
          </rPr>
          <t xml:space="preserve">Women's Group Code = W + position ordered by random key. Produces unique W1-W5.</t>
        </r>
      </text>
    </comment>
    <comment ref="F20" authorId="0" shapeId="0" xr:uid="{D060098A-2795-42DA-85C7-207D03CCF85A}">
      <text>
        <r>
          <rPr>
            <sz val="9"/>
            <color indexed="81"/>
            <rFont val="Tahoma"/>
            <charset val="1"/>
          </rPr>
          <t xml:space="preserve">Women's Group Code = W + position ordered by random key. Produces unique W1-W5.</t>
        </r>
      </text>
    </comment>
    <comment ref="F21" authorId="0" shapeId="0" xr:uid="{6C8BC1E9-7DBD-4956-AFC3-A9109D353AC7}">
      <text>
        <r>
          <rPr>
            <sz val="9"/>
            <color indexed="81"/>
            <rFont val="Tahoma"/>
            <charset val="1"/>
          </rPr>
          <t xml:space="preserve">Women's Group Code = W + position ordered by random key. Produces unique W1-W5.</t>
        </r>
      </text>
    </comment>
    <comment ref="F22" authorId="0" shapeId="0" xr:uid="{75677B0E-51E7-4782-9431-D5D1203C07EE}">
      <text>
        <r>
          <rPr>
            <sz val="9"/>
            <color indexed="81"/>
            <rFont val="Tahoma"/>
            <charset val="1"/>
          </rPr>
          <t xml:space="preserve">Women's Group Code = W + position ordered by random key. Produces unique W1-W5.</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G3" authorId="0" shapeId="0" xr:uid="{CEDD0DB3-7118-4EE9-9563-7D5F64433528}">
      <text>
        <r>
          <rPr>
            <b/>
            <sz val="9"/>
            <color indexed="81"/>
            <rFont val="Tahoma"/>
            <family val="2"/>
          </rPr>
          <t xml:space="preserve">Organizer:</t>
        </r>
        <r>
          <rPr>
            <sz val="9"/>
            <color indexed="81"/>
            <rFont val="Tahoma"/>
            <family val="2"/>
          </rPr>
          <t xml:space="preserve">
Tiebreak rank score = Points*1000 + Goal Difference. Used by the placement/championship games to rank teams (points first, then goal difference). Higher = better.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F5" authorId="0" shapeId="0" xr:uid="{DA177B01-D247-4D2D-8908-B941E5F13296}">
      <text>
        <r>
          <rPr>
            <b/>
            <sz val="9"/>
            <color indexed="81"/>
            <rFont val="Tahoma"/>
            <charset val="1"/>
          </rPr>
          <t xml:space="preserve">Organizer:</t>
        </r>
        <r>
          <rPr>
            <sz val="9"/>
            <color indexed="81"/>
            <rFont val="Tahoma"/>
            <charset val="1"/>
          </rPr>
          <t xml:space="preserve">
MVP Men: populates from the MVP Voting results block (B102/C102).</t>
        </r>
      </text>
    </comment>
    <comment ref="F6" authorId="0" shapeId="0" xr:uid="{A56BC323-B59E-4AC8-A358-39CFA84FF250}">
      <text>
        <r>
          <rPr>
            <b/>
            <sz val="9"/>
            <color indexed="81"/>
            <rFont val="Tahoma"/>
            <charset val="1"/>
          </rPr>
          <t xml:space="preserve">Organizer:</t>
        </r>
        <r>
          <rPr>
            <sz val="9"/>
            <color indexed="81"/>
            <rFont val="Tahoma"/>
            <charset val="1"/>
          </rPr>
          <t xml:space="preserve">
MVG Men: from MVP Voting (B104/C104).</t>
        </r>
      </text>
    </comment>
    <comment ref="F7" authorId="0" shapeId="0" xr:uid="{F14BF464-6B20-4021-9BE7-B339EDDDE925}">
      <text>
        <r>
          <rPr>
            <b/>
            <sz val="9"/>
            <color indexed="81"/>
            <rFont val="Tahoma"/>
            <charset val="1"/>
          </rPr>
          <t xml:space="preserve">Organizer:</t>
        </r>
        <r>
          <rPr>
            <sz val="9"/>
            <color indexed="81"/>
            <rFont val="Tahoma"/>
            <charset val="1"/>
          </rPr>
          <t xml:space="preserve">
Men's top scorer: from Stats &amp; MVP (which reads Individual Stats Men).</t>
        </r>
      </text>
    </comment>
    <comment ref="F15" authorId="0" shapeId="0" xr:uid="{1DBE1570-13EC-49B0-A58C-C07D082E4916}">
      <text>
        <r>
          <rPr>
            <b/>
            <sz val="9"/>
            <color indexed="81"/>
            <rFont val="Tahoma"/>
            <charset val="1"/>
          </rPr>
          <t xml:space="preserve">Organizer:</t>
        </r>
        <r>
          <rPr>
            <sz val="9"/>
            <color indexed="81"/>
            <rFont val="Tahoma"/>
            <charset val="1"/>
          </rPr>
          <t xml:space="preserve">
MVP Women: from MVP Voting (B103/C103).</t>
        </r>
      </text>
    </comment>
    <comment ref="F16" authorId="0" shapeId="0" xr:uid="{81B5220D-BD06-437C-9A00-7BC0F31E7B07}">
      <text>
        <r>
          <rPr>
            <b/>
            <sz val="9"/>
            <color indexed="81"/>
            <rFont val="Tahoma"/>
            <charset val="1"/>
          </rPr>
          <t xml:space="preserve">Organizer:</t>
        </r>
        <r>
          <rPr>
            <sz val="9"/>
            <color indexed="81"/>
            <rFont val="Tahoma"/>
            <charset val="1"/>
          </rPr>
          <t xml:space="preserve">
MVG Women: from MVP Voting (B105/C105).</t>
        </r>
      </text>
    </comment>
    <comment ref="F17" authorId="0" shapeId="0" xr:uid="{E68AD35D-35DC-4C47-9C35-EDD25E61753C}">
      <text>
        <r>
          <rPr>
            <b/>
            <sz val="9"/>
            <color indexed="81"/>
            <rFont val="Tahoma"/>
            <charset val="1"/>
          </rPr>
          <t xml:space="preserve">Organizer:</t>
        </r>
        <r>
          <rPr>
            <sz val="9"/>
            <color indexed="81"/>
            <rFont val="Tahoma"/>
            <charset val="1"/>
          </rPr>
          <t xml:space="preserve">
Women's top scorer: from Stats &amp; MVP (which reads Individual Stats Women).</t>
        </r>
      </text>
    </comment>
    <comment ref="I20" authorId="0" shapeId="0" xr:uid="{70FFAF45-DD18-43CD-BE5C-11598FE81003}">
      <text>
        <r>
          <rPr>
            <sz val="9"/>
            <color indexed="81"/>
            <rFont val="Tahoma"/>
            <charset val="1"/>
          </rPr>
          <t xml:space="preserve">Men's champion = winner of the men's final (Division M, playoff K=1). Found by lookup, not a fixed row, so it works in every format.</t>
        </r>
      </text>
    </comment>
    <comment ref="I21" authorId="0" shapeId="0" xr:uid="{214A64AE-104D-4646-A8D0-2EC8B322E9B9}">
      <text>
        <r>
          <rPr>
            <b/>
            <sz val="9"/>
            <color indexed="81"/>
            <rFont val="Tahoma"/>
            <charset val="1"/>
          </rPr>
          <t xml:space="preserve">Organizer:</t>
        </r>
        <r>
          <rPr>
            <sz val="9"/>
            <color indexed="81"/>
            <rFont val="Tahoma"/>
            <charset val="1"/>
          </rPr>
          <t xml:space="preserve">
Men 2nd = loser of Game 27 (championship).</t>
        </r>
      </text>
    </comment>
    <comment ref="I22" authorId="0" shapeId="0" xr:uid="{2730C708-BB39-4C15-A057-09E31F8A5B6B}">
      <text>
        <r>
          <rPr>
            <b/>
            <sz val="9"/>
            <color indexed="81"/>
            <rFont val="Tahoma"/>
            <charset val="1"/>
          </rPr>
          <t xml:space="preserve">Organizer:</t>
        </r>
        <r>
          <rPr>
            <sz val="9"/>
            <color indexed="81"/>
            <rFont val="Tahoma"/>
            <charset val="1"/>
          </rPr>
          <t xml:space="preserve">
Men 3rd = winner of Game 25 (bronze, row 29).</t>
        </r>
      </text>
    </comment>
    <comment ref="I23" authorId="0" shapeId="0" xr:uid="{F86D6DAC-FA2B-449D-A385-4F8EF2607922}">
      <text>
        <r>
          <rPr>
            <b/>
            <sz val="9"/>
            <color indexed="81"/>
            <rFont val="Tahoma"/>
            <charset val="1"/>
          </rPr>
          <t xml:space="preserve">Organizer:</t>
        </r>
        <r>
          <rPr>
            <sz val="9"/>
            <color indexed="81"/>
            <rFont val="Tahoma"/>
            <charset val="1"/>
          </rPr>
          <t xml:space="preserve">
Men 4th = loser of Game 25 (bronze).</t>
        </r>
      </text>
    </comment>
    <comment ref="I24" authorId="0" shapeId="0" xr:uid="{2E404BC1-73DF-45E6-B6B1-85BA0F11D7F4}">
      <text>
        <r>
          <rPr>
            <b/>
            <sz val="9"/>
            <color indexed="81"/>
            <rFont val="Tahoma"/>
            <charset val="1"/>
          </rPr>
          <t xml:space="preserve">Organizer:</t>
        </r>
        <r>
          <rPr>
            <sz val="9"/>
            <color indexed="81"/>
            <rFont val="Tahoma"/>
            <charset val="1"/>
          </rPr>
          <t xml:space="preserve">
Men 5th = winner of Game 24 (5th/6th place game, row 28).</t>
        </r>
      </text>
    </comment>
    <comment ref="I25" authorId="0" shapeId="0" xr:uid="{A0E76257-D362-41AA-9C6F-C3194368D2B1}">
      <text>
        <r>
          <rPr>
            <b/>
            <sz val="9"/>
            <color indexed="81"/>
            <rFont val="Tahoma"/>
            <charset val="1"/>
          </rPr>
          <t xml:space="preserve">Organizer:</t>
        </r>
        <r>
          <rPr>
            <sz val="9"/>
            <color indexed="81"/>
            <rFont val="Tahoma"/>
            <charset val="1"/>
          </rPr>
          <t xml:space="preserve">
Men 6th = loser of Game 24.</t>
        </r>
      </text>
    </comment>
    <comment ref="I26" authorId="0" shapeId="0" xr:uid="{30524B9F-6EDC-463A-92A6-CC5037A35B74}">
      <text>
        <r>
          <rPr>
            <b/>
            <sz val="9"/>
            <color indexed="81"/>
            <rFont val="Tahoma"/>
            <charset val="1"/>
          </rPr>
          <t xml:space="preserve">Organizer:</t>
        </r>
        <r>
          <rPr>
            <sz val="9"/>
            <color indexed="81"/>
            <rFont val="Tahoma"/>
            <charset val="1"/>
          </rPr>
          <t xml:space="preserve">
Men 7th = winner of Game 23 (7th/8th place game, row 27).</t>
        </r>
      </text>
    </comment>
    <comment ref="I27" authorId="0" shapeId="0" xr:uid="{35974743-CAA1-4647-A670-EBCF955D0A21}">
      <text>
        <r>
          <rPr>
            <b/>
            <sz val="9"/>
            <color indexed="81"/>
            <rFont val="Tahoma"/>
            <charset val="1"/>
          </rPr>
          <t xml:space="preserve">Organizer:</t>
        </r>
        <r>
          <rPr>
            <sz val="9"/>
            <color indexed="81"/>
            <rFont val="Tahoma"/>
            <charset val="1"/>
          </rPr>
          <t xml:space="preserve">
Men 8th = loser of Game 23.</t>
        </r>
      </text>
    </comment>
    <comment ref="I30" authorId="0" shapeId="0" xr:uid="{937F625E-FC78-4D45-99B2-51F9DD66E9B4}">
      <text>
        <r>
          <rPr>
            <sz val="9"/>
            <color indexed="81"/>
            <rFont val="Tahoma"/>
            <charset val="1"/>
          </rPr>
          <t xml:space="preserve">Women's champion = winner of the women's final (Division W, playoff K=1). Found by lookup, so it adapts to the single-pool or two-pool format.</t>
        </r>
      </text>
    </comment>
    <comment ref="I31" authorId="0" shapeId="0" xr:uid="{B2493BC5-624F-47E4-A006-61BEA3A59357}">
      <text>
        <r>
          <rPr>
            <b/>
            <sz val="9"/>
            <color indexed="81"/>
            <rFont val="Tahoma"/>
            <charset val="1"/>
          </rPr>
          <t xml:space="preserve">Organizer:</t>
        </r>
        <r>
          <rPr>
            <sz val="9"/>
            <color indexed="81"/>
            <rFont val="Tahoma"/>
            <charset val="1"/>
          </rPr>
          <t xml:space="preserve">
Women 2nd = loser of Game 26 (championship).</t>
        </r>
      </text>
    </comment>
    <comment ref="I32" authorId="0" shapeId="0" xr:uid="{42FF467C-0C1B-476C-B870-8ECA3197BADE}">
      <text>
        <r>
          <rPr>
            <b/>
            <sz val="9"/>
            <color indexed="81"/>
            <rFont val="Tahoma"/>
            <charset val="1"/>
          </rPr>
          <t xml:space="preserve">Organizer:</t>
        </r>
        <r>
          <rPr>
            <sz val="9"/>
            <color indexed="81"/>
            <rFont val="Tahoma"/>
            <charset val="1"/>
          </rPr>
          <t xml:space="preserve">
Women 3rd = highest-ranked team (by group standings) not in the final. From the auto-sorted women's ranking.</t>
        </r>
      </text>
    </comment>
    <comment ref="I33" authorId="0" shapeId="0" xr:uid="{76F0D6B4-DB69-4F8F-B0D2-08AC69FF2A10}">
      <text>
        <r>
          <rPr>
            <b/>
            <sz val="9"/>
            <color indexed="81"/>
            <rFont val="Tahoma"/>
            <charset val="1"/>
          </rPr>
          <t xml:space="preserve">Organizer:</t>
        </r>
        <r>
          <rPr>
            <sz val="9"/>
            <color indexed="81"/>
            <rFont val="Tahoma"/>
            <charset val="1"/>
          </rPr>
          <t xml:space="preserve">
Women 4th = 2nd-highest ranked non-finalist.</t>
        </r>
      </text>
    </comment>
    <comment ref="I34" authorId="0" shapeId="0" xr:uid="{D5E5D686-6941-4E38-80A2-D8483F34AB8C}">
      <text>
        <r>
          <rPr>
            <b/>
            <sz val="9"/>
            <color indexed="81"/>
            <rFont val="Tahoma"/>
            <charset val="1"/>
          </rPr>
          <t xml:space="preserve">Organizer:</t>
        </r>
        <r>
          <rPr>
            <sz val="9"/>
            <color indexed="81"/>
            <rFont val="Tahoma"/>
            <charset val="1"/>
          </rPr>
          <t xml:space="preserve">
Women 5th = 3rd-highest ranked non-finalist.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A1" authorId="0" shapeId="0" xr:uid="{FC982BF1-BCF8-4D12-B8FE-09376F3876C3}">
      <text>
        <r>
          <rPr>
            <b/>
            <sz val="9"/>
            <color indexed="81"/>
            <rFont val="Tahoma"/>
            <family val="2"/>
          </rPr>
          <t xml:space="preserve">Organizer:</t>
        </r>
        <r>
          <rPr>
            <sz val="9"/>
            <color indexed="81"/>
            <rFont val="Tahoma"/>
            <family val="2"/>
          </rPr>
          <t xml:space="preserve">
HOW THIS TAB WORKS: one 20-row block per team (16 players + 4 officials), in Teams Master order. Team / Type / Role columns are formulas: do not touch, and never insert or delete rows. Paste each submitted roster into the BLUE columns (Jersey, First/Last Name, Position, WhatsApp) inside that team's block. Feeds: Individuals Stats, Game Sheet.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B4" authorId="0" shapeId="0" xr:uid="{8991C3A2-44D6-43EA-A7CA-FEF35F4F9884}">
      <text>
        <r>
          <rPr>
            <b/>
            <sz val="9"/>
            <color indexed="81"/>
            <rFont val="Tahoma"/>
            <charset val="1"/>
          </rPr>
          <t xml:space="preserve">Organizer:</t>
        </r>
        <r>
          <rPr>
            <sz val="9"/>
            <color indexed="81"/>
            <rFont val="Tahoma"/>
            <charset val="1"/>
          </rPr>
          <t xml:space="preserve">
Select your team from the dropdown. Every row below is stamped with this team automatically.</t>
        </r>
      </text>
    </comment>
    <comment ref="E4" authorId="0" shapeId="0" xr:uid="{5629A86C-2F1C-442D-8452-21B1DF34DF7E}">
      <text>
        <r>
          <rPr>
            <b/>
            <sz val="9"/>
            <color indexed="81"/>
            <rFont val="Tahoma"/>
            <charset val="1"/>
          </rPr>
          <t xml:space="preserve">Organizer:</t>
        </r>
        <r>
          <rPr>
            <sz val="9"/>
            <color indexed="81"/>
            <rFont val="Tahoma"/>
            <charset val="1"/>
          </rPr>
          <t xml:space="preserve">
Auto-filled from your team name.</t>
        </r>
      </text>
    </comment>
    <comment ref="A7" authorId="0" shapeId="0" xr:uid="{7B884311-A0E4-4C7A-82C4-93A6C9975E9E}">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8" authorId="0" shapeId="0" xr:uid="{D396E7B8-FCD9-472C-9D41-5F992E4842A2}">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9" authorId="0" shapeId="0" xr:uid="{6EAE7933-A7C9-4278-BC45-106629CA83AD}">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10" authorId="0" shapeId="0" xr:uid="{37C7FB9B-A5DD-4EE3-A000-60141BF4C227}">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11" authorId="0" shapeId="0" xr:uid="{A2220B71-71F8-4373-A95D-171EFBD8F09B}">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12" authorId="0" shapeId="0" xr:uid="{B3E969B9-FF9E-4190-BD4F-93F06F14B0EF}">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13" authorId="0" shapeId="0" xr:uid="{97EC3C74-ABB1-4003-9050-6C7514447599}">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14" authorId="0" shapeId="0" xr:uid="{3FED2B32-385D-4E87-9056-6D236A254262}">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15" authorId="0" shapeId="0" xr:uid="{7008909C-2F98-4A89-9FD3-BA72ED88376D}">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16" authorId="0" shapeId="0" xr:uid="{D3BAA4AF-24DD-4FB3-8847-BF0710D22EEE}">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17" authorId="0" shapeId="0" xr:uid="{E72D6D80-928B-4213-8236-36707E232C0C}">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18" authorId="0" shapeId="0" xr:uid="{9532AC7C-0C7C-4624-B328-76B05497BA62}">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19" authorId="0" shapeId="0" xr:uid="{40CD6811-2A33-42A1-8458-92FA8010F1A5}">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20" authorId="0" shapeId="0" xr:uid="{797C4F85-02D8-4001-985E-C58F94D45A21}">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21" authorId="0" shapeId="0" xr:uid="{81545C9D-F275-4757-A4B3-114F8F787B8B}">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22" authorId="0" shapeId="0" xr:uid="{2B5D41A6-3575-4841-8987-C15AAE3E3E1F}">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23" authorId="0" shapeId="0" xr:uid="{A390FE0F-891F-4190-8DCA-450E6B7635EA}">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24" authorId="0" shapeId="0" xr:uid="{EA854975-5005-42ED-86B2-F19ECE563E1C}">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25" authorId="0" shapeId="0" xr:uid="{65F6ECF5-7B79-44E8-80AB-C6D9AF13EB0C}">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26" authorId="0" shapeId="0" xr:uid="{600A5231-A444-4EBB-9E62-106BFD4B810D}">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27" authorId="0" shapeId="0" xr:uid="{99D04F3B-590F-4875-9D09-3E5AD1A29078}">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28" authorId="0" shapeId="0" xr:uid="{4FF5E062-D85D-4D3B-9D3F-539ED27177B5}">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29" authorId="0" shapeId="0" xr:uid="{E43FD25C-48F1-4B4C-B1F8-EE7121C4F11F}">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30" authorId="0" shapeId="0" xr:uid="{98AD795A-CF21-4A8B-AEB2-2D37D800549D}">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 ref="A31" authorId="0" shapeId="0" xr:uid="{F8281EC7-11E2-4D5B-A3D2-884EF7CC5584}">
      <text>
        <r>
          <rPr>
            <b/>
            <sz val="9"/>
            <color indexed="81"/>
            <rFont val="Tahoma"/>
            <charset val="1"/>
          </rPr>
          <t xml:space="preserve">Organizer:</t>
        </r>
        <r>
          <rPr>
            <sz val="9"/>
            <color indexed="81"/>
            <rFont val="Tahoma"/>
            <charset val="1"/>
          </rPr>
          <t xml:space="preserve">
Auto-stamps the team from B4 whenever this row has any data. Do not type here.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B1" authorId="0" shapeId="0" xr:uid="{6F6E48D4-1186-4700-986B-DE49B30F9B35}">
      <text>
        <r>
          <rPr>
            <b/>
            <sz val="9"/>
            <color indexed="81"/>
            <rFont val="Tahoma"/>
            <family val="2"/>
          </rPr>
          <t xml:space="preserve">Organizer:</t>
        </r>
        <r>
          <rPr>
            <sz val="9"/>
            <color indexed="81"/>
            <rFont val="Tahoma"/>
            <family val="2"/>
          </rPr>
          <t xml:space="preserve">
HOW THIS TAB WORKS: players auto-fill from Rosters Master (do not type names here). Enter each player's goals per game in the blue Game columns; Total Goals, Rank, Stats &amp; MVP and the Control Panel update automatically.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B1" authorId="0" shapeId="0" xr:uid="{0DC3D54D-7A9A-461B-AB0E-16AA7D0F3CDF}">
      <text>
        <r>
          <rPr>
            <b/>
            <sz val="9"/>
            <color indexed="81"/>
            <rFont val="Tahoma"/>
            <family val="2"/>
          </rPr>
          <t xml:space="preserve">Organizer:</t>
        </r>
        <r>
          <rPr>
            <sz val="9"/>
            <color indexed="81"/>
            <rFont val="Tahoma"/>
            <family val="2"/>
          </rPr>
          <t xml:space="preserve">
HOW THIS TAB WORKS: players auto-fill from Rosters Master (do not type names here). Enter each player's goals per game in the blue Game columns; Total Goals, Rank, Stats &amp; MVP and the Control Panel update automatically.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A1" authorId="0" shapeId="0" xr:uid="{B74AC860-93C0-4169-B299-E9CBC4F4E76A}">
      <text>
        <r>
          <rPr>
            <b/>
            <sz val="9"/>
            <color indexed="81"/>
            <rFont val="Tahoma"/>
            <family val="2"/>
          </rPr>
          <t xml:space="preserve">Organizer:</t>
        </r>
        <r>
          <rPr>
            <sz val="9"/>
            <color indexed="81"/>
            <rFont val="Tahoma"/>
            <family val="2"/>
          </rPr>
          <t xml:space="preserve">
Auto-lists every team official from Rosters Master (FILTER spill): do not type in columns A:E. Column F (WhatsApp channel) is the only manual column.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C5" authorId="0" shapeId="0" xr:uid="{00000000-0006-0000-0600-000001000000}">
      <text>
        <r>
          <rPr>
            <sz val="11"/>
            <color theme="1"/>
            <rFont val="Calibri"/>
            <scheme val="minor"/>
          </rPr>
          <t xml:space="preserve">Leave blank: the event coordinator fills this in on the day.</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A5" authorId="0" shapeId="0" xr:uid="{312F7A3B-3C19-4990-8EF6-E0968A8C8135}">
      <text>
        <r>
          <rPr>
            <sz val="9"/>
            <color indexed="81"/>
            <rFont val="Tahoma"/>
            <family val="2"/>
          </rPr>
          <t xml:space="preserve">2027 budget total income, linked to the 2027 Budget column of the multi-year comparison (H15). 2026 stays in column E.</t>
        </r>
      </text>
    </comment>
    <comment ref="B5" authorId="0" shapeId="0" xr:uid="{73AA8589-87A3-4B70-91FA-C54F36A44147}">
      <text>
        <r>
          <rPr>
            <sz val="9"/>
            <color indexed="81"/>
            <rFont val="Tahoma"/>
            <family val="2"/>
          </rPr>
          <t xml:space="preserve">2027 budget total expenses (H25).</t>
        </r>
      </text>
    </comment>
    <comment ref="A6" authorId="0" shapeId="0" xr:uid="{A1836876-0D93-463F-8CCB-26F7043904A7}">
      <text>
        <r>
          <rPr>
            <b/>
            <sz val="9"/>
            <color indexed="81"/>
            <rFont val="Tahoma"/>
            <charset val="1"/>
          </rPr>
          <t xml:space="preserve">Organizer:</t>
        </r>
        <r>
          <rPr>
            <sz val="9"/>
            <color indexed="81"/>
            <rFont val="Tahoma"/>
            <charset val="1"/>
          </rPr>
          <t xml:space="preserve">
2027 actuals to date, linked to the 2027 Actuals column (I15).</t>
        </r>
      </text>
    </comment>
    <comment ref="H11" authorId="0" shapeId="0" xr:uid="{DEB21DB0-4B8C-4224-8C00-4995E45ADFCD}">
      <text>
        <r>
          <rPr>
            <b/>
            <sz val="9"/>
            <color indexed="81"/>
            <rFont val="Tahoma"/>
            <charset val="1"/>
          </rPr>
          <t xml:space="preserve">Organizer:</t>
        </r>
        <r>
          <rPr>
            <sz val="9"/>
            <color indexed="81"/>
            <rFont val="Tahoma"/>
            <charset val="1"/>
          </rPr>
          <t xml:space="preserve">
2027 registration income = per-team fee (N11) × paying teams (N13), so it moves with the fee on Inputs.</t>
        </r>
      </text>
    </comment>
    <comment ref="I11" authorId="0" shapeId="0" xr:uid="{3A13FF57-9419-4292-A3D2-E7BE968BD151}">
      <text>
        <r>
          <rPr>
            <b/>
            <sz val="9"/>
            <color indexed="81"/>
            <rFont val="Tahoma"/>
            <charset val="1"/>
          </rPr>
          <t xml:space="preserve">Organizer:</t>
        </r>
        <r>
          <rPr>
            <sz val="9"/>
            <color indexed="81"/>
            <rFont val="Tahoma"/>
            <charset val="1"/>
          </rPr>
          <t xml:space="preserve">
2027 actual registration income, live from the Registration tab: fully-paid teams × full fee + deposit-only teams × deposit amount.</t>
        </r>
      </text>
    </comment>
    <comment ref="N11" authorId="0" shapeId="0" xr:uid="{A76288CC-A674-4430-9813-F86BF31675D7}">
      <text>
        <r>
          <rPr>
            <sz val="9"/>
            <color indexed="81"/>
            <rFont val="Tahoma"/>
            <charset val="1"/>
          </rPr>
          <t xml:space="preserve">Per-team fee: sourced from central Inputs tab.</t>
        </r>
      </text>
    </comment>
    <comment ref="N12" authorId="0" shapeId="0" xr:uid="{3B5A5393-C747-4EA2-9306-26DB564E2C2B}">
      <text>
        <r>
          <rPr>
            <sz val="9"/>
            <color indexed="81"/>
            <rFont val="Tahoma"/>
            <charset val="1"/>
          </rPr>
          <t xml:space="preserve">Deposit % of the full fee: sourced from the central Inputs tab (C19). Edit it there, not here.</t>
        </r>
      </text>
    </comment>
    <comment ref="H13" authorId="0" shapeId="0" xr:uid="{C046E774-0A30-4F28-9FC8-D13160D32B6E}">
      <text>
        <r>
          <rPr>
            <b/>
            <sz val="9"/>
            <color indexed="81"/>
            <rFont val="Tahoma"/>
            <charset val="1"/>
          </rPr>
          <t xml:space="preserve">Organizer:</t>
        </r>
        <r>
          <rPr>
            <sz val="9"/>
            <color indexed="81"/>
            <rFont val="Tahoma"/>
            <charset val="1"/>
          </rPr>
          <t xml:space="preserve">
Commemorative merch target (pre-order plan).</t>
        </r>
      </text>
    </comment>
    <comment ref="N13" authorId="0" shapeId="0" xr:uid="{B9EB4C76-D23C-4C97-BE37-4094F045B164}">
      <text>
        <r>
          <rPr>
            <sz val="9"/>
            <color indexed="81"/>
            <rFont val="Tahoma"/>
            <charset val="1"/>
          </rPr>
          <t xml:space="preserve">Full-capacity budget assumption: every team slot for the selected format is filled, minus host (non-paying) teams. Inputs!C13 is the format's total team capacity (toggle-driven); N16 is the host-team count. Drives the 2027 registration income (H11).</t>
        </r>
      </text>
    </comment>
    <comment ref="H14" authorId="0" shapeId="0" xr:uid="{67AF827C-35AC-4835-B3F3-72620593E132}">
      <text>
        <r>
          <rPr>
            <b/>
            <sz val="9"/>
            <color indexed="81"/>
            <rFont val="Tahoma"/>
            <charset val="1"/>
          </rPr>
          <t xml:space="preserve">Organizer:</t>
        </r>
        <r>
          <rPr>
            <sz val="9"/>
            <color indexed="81"/>
            <rFont val="Tahoma"/>
            <charset val="1"/>
          </rPr>
          <t xml:space="preserve">
Sponsors, donations and other fundraising for 2027: typed input (blue). Replace with your own estimate.</t>
        </r>
      </text>
    </comment>
    <comment ref="N16" authorId="0" shapeId="0" xr:uid="{6C491CC3-6DB8-427D-A241-04D0EF00DBE2}">
      <text>
        <r>
          <rPr>
            <b/>
            <sz val="9"/>
            <color indexed="81"/>
            <rFont val="Tahoma"/>
            <charset val="1"/>
          </rPr>
          <t xml:space="preserve">Organizer:</t>
        </r>
        <r>
          <rPr>
            <sz val="9"/>
            <color indexed="81"/>
            <rFont val="Tahoma"/>
            <charset val="1"/>
          </rPr>
          <t xml:space="preserve">
Number of host teams that do NOT pay a registration fee (e.g. the host club teams). Editable assumption. Subtracted from total capacity to get paying teams.</t>
        </r>
      </text>
    </comment>
    <comment ref="E18" authorId="0" shapeId="0" xr:uid="{1F3CB1FA-828E-4809-938D-36354D3D7DE0}">
      <text>
        <r>
          <rPr>
            <b/>
            <sz val="9"/>
            <color indexed="81"/>
            <rFont val="Tahoma"/>
            <family val="2"/>
          </rPr>
          <t xml:space="preserve">Organizer:</t>
        </r>
        <r>
          <rPr>
            <sz val="9"/>
            <color indexed="81"/>
            <rFont val="Tahoma"/>
            <family val="2"/>
          </rPr>
          <t xml:space="preserve">
2026 referee actual, linked to the detailed P&amp;L on Multi Year Financial Summary.</t>
        </r>
      </text>
    </comment>
    <comment ref="H18" authorId="0" shapeId="0" xr:uid="{7DF95AAE-AADF-4704-9231-C28D99619E36}">
      <text>
        <r>
          <rPr>
            <sz val="9"/>
            <color indexed="81"/>
            <rFont val="Tahoma"/>
            <charset val="1"/>
          </rPr>
          <t xml:space="preserve">Referee budget: bottom-up from the Operations Costs travel/logistics model (tied to Referees Master).</t>
        </r>
      </text>
    </comment>
    <comment ref="E19" authorId="0" shapeId="0" xr:uid="{FAB94D9F-511A-48FC-8A4D-C1609C3BA0A9}">
      <text>
        <r>
          <rPr>
            <b/>
            <sz val="9"/>
            <color indexed="81"/>
            <rFont val="Tahoma"/>
            <family val="2"/>
          </rPr>
          <t xml:space="preserve">Organizer:</t>
        </r>
        <r>
          <rPr>
            <sz val="9"/>
            <color indexed="81"/>
            <rFont val="Tahoma"/>
            <family val="2"/>
          </rPr>
          <t xml:space="preserve">
2026 venue/gym actual (Total Gym &amp; related), linked to the detailed P&amp;L.</t>
        </r>
      </text>
    </comment>
    <comment ref="H19" authorId="0" shapeId="0" xr:uid="{FC5C326E-B48A-4C47-B97A-30ED4FB2A199}">
      <text>
        <r>
          <rPr>
            <b/>
            <sz val="9"/>
            <color indexed="81"/>
            <rFont val="Tahoma"/>
            <charset val="1"/>
          </rPr>
          <t xml:space="preserve">Organizer:</t>
        </r>
        <r>
          <rPr>
            <sz val="9"/>
            <color indexed="81"/>
            <rFont val="Tahoma"/>
            <charset val="1"/>
          </rPr>
          <t xml:space="preserve">
Venue/gym budget = base venue cost (N20) less the short-format discount (N21) when the schedule fits fewer days (games ≤ N22). 6M+6W (18 games, 2 days) gets the discount.</t>
        </r>
      </text>
    </comment>
    <comment ref="N19" authorId="0" shapeId="0" xr:uid="{1548024E-51A4-41DF-81DA-608FF616AEF9}">
      <text>
        <r>
          <rPr>
            <b/>
            <sz val="9"/>
            <color indexed="81"/>
            <rFont val="Tahoma"/>
            <charset val="1"/>
          </rPr>
          <t xml:space="preserve">Organizer:</t>
        </r>
        <r>
          <rPr>
            <sz val="9"/>
            <color indexed="81"/>
            <rFont val="Tahoma"/>
            <charset val="1"/>
          </rPr>
          <t xml:space="preserve">
Referee cost per game. Default ≈ the 2027 referee estimate ÷ 27 games. Total referee budget = this × the active format's game count (27 / 24 / 18).</t>
        </r>
      </text>
    </comment>
    <comment ref="E20" authorId="0" shapeId="0" xr:uid="{EF88A9AB-48F8-4CB9-9C27-755A46EDD136}">
      <text>
        <r>
          <rPr>
            <b/>
            <sz val="9"/>
            <color indexed="81"/>
            <rFont val="Tahoma"/>
            <family val="2"/>
          </rPr>
          <t xml:space="preserve">Organizer:</t>
        </r>
        <r>
          <rPr>
            <sz val="9"/>
            <color indexed="81"/>
            <rFont val="Tahoma"/>
            <family val="2"/>
          </rPr>
          <t xml:space="preserve">
2026 handball balls actual, linked to detailed P&amp;L.</t>
        </r>
      </text>
    </comment>
    <comment ref="H20" authorId="0" shapeId="0" xr:uid="{A70477E2-BDCF-433A-B8C7-4836AC15D7B6}">
      <text>
        <r>
          <rPr>
            <b/>
            <sz val="9"/>
            <color indexed="81"/>
            <rFont val="Tahoma"/>
            <family val="2"/>
          </rPr>
          <t xml:space="preserve">Organizer:</t>
        </r>
        <r>
          <rPr>
            <sz val="9"/>
            <color indexed="81"/>
            <rFont val="Tahoma"/>
            <family val="2"/>
          </rPr>
          <t xml:space="preserve">
Equipment/balls budget: from Operations Costs.</t>
        </r>
      </text>
    </comment>
    <comment ref="N20" authorId="0" shapeId="0" xr:uid="{29A4B7EC-BA1F-4317-87A7-8297B1FBE35D}">
      <text>
        <r>
          <rPr>
            <b/>
            <sz val="9"/>
            <color indexed="81"/>
            <rFont val="Tahoma"/>
            <charset val="1"/>
          </rPr>
          <t xml:space="preserve">Organizer:</t>
        </r>
        <r>
          <rPr>
            <sz val="9"/>
            <color indexed="81"/>
            <rFont val="Tahoma"/>
            <charset val="1"/>
          </rPr>
          <t xml:space="preserve">
Full-schedule venue/gym cost (3-day base). Linked to the 2026 venue actual. The short-format discount below is applied for compact formats.</t>
        </r>
      </text>
    </comment>
    <comment ref="E21" authorId="0" shapeId="0" xr:uid="{21032BD8-268F-4809-8CAD-5AD04616D264}">
      <text>
        <r>
          <rPr>
            <b/>
            <sz val="9"/>
            <color indexed="81"/>
            <rFont val="Tahoma"/>
            <family val="2"/>
          </rPr>
          <t xml:space="preserve">Organizer:</t>
        </r>
        <r>
          <rPr>
            <sz val="9"/>
            <color indexed="81"/>
            <rFont val="Tahoma"/>
            <family val="2"/>
          </rPr>
          <t xml:space="preserve">
2026 medical staff actual (Total Medical), linked to the detailed P&amp;L.</t>
        </r>
      </text>
    </comment>
    <comment ref="H21" authorId="0" shapeId="0" xr:uid="{19731154-E17D-47B9-920B-33E32E249FEB}">
      <text>
        <r>
          <rPr>
            <b/>
            <sz val="9"/>
            <color indexed="81"/>
            <rFont val="Tahoma"/>
            <family val="2"/>
          </rPr>
          <t xml:space="preserve">Organizer:</t>
        </r>
        <r>
          <rPr>
            <sz val="9"/>
            <color indexed="81"/>
            <rFont val="Tahoma"/>
            <family val="2"/>
          </rPr>
          <t xml:space="preserve">
Medical staff budget, from Operations Costs (schedule-driven hours).</t>
        </r>
      </text>
    </comment>
    <comment ref="N21" authorId="0" shapeId="0" xr:uid="{501B6194-C290-4CE5-8883-DF45C463DA9E}">
      <text>
        <r>
          <rPr>
            <b/>
            <sz val="9"/>
            <color indexed="81"/>
            <rFont val="Tahoma"/>
            <charset val="1"/>
          </rPr>
          <t xml:space="preserve">Organizer:</t>
        </r>
        <r>
          <rPr>
            <sz val="9"/>
            <color indexed="81"/>
            <rFont val="Tahoma"/>
            <charset val="1"/>
          </rPr>
          <t xml:space="preserve">
Venue saving when the schedule fits fewer days. Applied when the active format's games ≤ the threshold below (6M+6W = 18 games fits 2 days).</t>
        </r>
      </text>
    </comment>
    <comment ref="E22" authorId="0" shapeId="0" xr:uid="{3476C2B1-4187-4AE2-A716-934531194340}">
      <text>
        <r>
          <rPr>
            <b/>
            <sz val="9"/>
            <color indexed="81"/>
            <rFont val="Tahoma"/>
            <family val="2"/>
          </rPr>
          <t xml:space="preserve">Organizer:</t>
        </r>
        <r>
          <rPr>
            <sz val="9"/>
            <color indexed="81"/>
            <rFont val="Tahoma"/>
            <family val="2"/>
          </rPr>
          <t xml:space="preserve">
2026 concession supplies plus merchandising / T shirts, linked to the detailed P&amp;L.</t>
        </r>
      </text>
    </comment>
    <comment ref="H22" authorId="0" shapeId="0" xr:uid="{FA8E20A5-72A5-49CD-836C-62F72EE0166F}">
      <text>
        <r>
          <rPr>
            <sz val="9"/>
            <color indexed="81"/>
            <rFont val="Tahoma"/>
            <charset val="1"/>
          </rPr>
          <t xml:space="preserve">2027 concession supplies = 2026 budget (D22) less $120 of reusable items that do not need repurchase. No T shirt cost is included: shirts already on hand cover 2027.</t>
        </r>
      </text>
    </comment>
    <comment ref="E23" authorId="0" shapeId="0" xr:uid="{F83A2F44-EB7F-4CA9-98D6-E8173F71F684}">
      <text>
        <r>
          <rPr>
            <b/>
            <sz val="9"/>
            <color indexed="81"/>
            <rFont val="Tahoma"/>
            <family val="2"/>
          </rPr>
          <t xml:space="preserve">Organizer:</t>
        </r>
        <r>
          <rPr>
            <sz val="9"/>
            <color indexed="81"/>
            <rFont val="Tahoma"/>
            <family val="2"/>
          </rPr>
          <t xml:space="preserve">
2026 trophies/medals actual, linked to the detailed P&amp;L.</t>
        </r>
      </text>
    </comment>
    <comment ref="H23" authorId="0" shapeId="0" xr:uid="{A103F652-9C39-4640-8795-76E58F34F6F5}">
      <text>
        <r>
          <rPr>
            <sz val="9"/>
            <color indexed="81"/>
            <rFont val="Tahoma"/>
            <charset val="1"/>
          </rPr>
          <t xml:space="preserve">2027 trophies/awards = 2026 budget + $500 contingency, assuming the full purchase cost from an online shop.</t>
        </r>
      </text>
    </comment>
    <comment ref="I23" authorId="0" shapeId="0" xr:uid="{0D0F1C72-435C-4D20-93A1-4F5A2B18FB9A}">
      <text>
        <r>
          <rPr>
            <b/>
            <sz val="9"/>
            <color indexed="81"/>
            <rFont val="Tahoma"/>
            <charset val="1"/>
          </rPr>
          <t xml:space="preserve">Organizer:</t>
        </r>
        <r>
          <rPr>
            <sz val="9"/>
            <color indexed="81"/>
            <rFont val="Tahoma"/>
            <charset val="1"/>
          </rPr>
          <t xml:space="preserve">
Trophies/Awards 2027 actual (enter when known).</t>
        </r>
      </text>
    </comment>
    <comment ref="E24" authorId="0" shapeId="0" xr:uid="{3AC6F3EB-085B-4CC7-ADB5-3B03C52B9EE6}">
      <text>
        <r>
          <rPr>
            <sz val="9"/>
            <color indexed="81"/>
            <rFont val="Tahoma"/>
            <charset val="1"/>
          </rPr>
          <t xml:space="preserve">2026 other/misc actuals: social media support + floor mats + van rental, linked to the detailed P&amp;L. (Federation event registration is already inside the Venue/Gym total, so it is excluded here to avoid double counting.)</t>
        </r>
      </text>
    </comment>
    <comment ref="H24" authorId="0" shapeId="0" xr:uid="{36D14E19-3EE8-4B22-9436-F76E1C5581BB}">
      <text>
        <r>
          <rPr>
            <b/>
            <sz val="9"/>
            <color indexed="81"/>
            <rFont val="Tahoma"/>
            <charset val="1"/>
          </rPr>
          <t xml:space="preserve">Organizer:</t>
        </r>
        <r>
          <rPr>
            <sz val="9"/>
            <color indexed="81"/>
            <rFont val="Tahoma"/>
            <charset val="1"/>
          </rPr>
          <t xml:space="preserve">
Other/Misc 2027 = $0. Social media support (in the 2026 actuals) is intentionally not budgeted for 2027.</t>
        </r>
      </text>
    </comment>
    <comment ref="E25" authorId="0" shapeId="0" xr:uid="{EC08B04E-CCFB-49B6-A77C-775B2FB99186}">
      <text>
        <r>
          <rPr>
            <sz val="9"/>
            <color indexed="81"/>
            <rFont val="Tahoma"/>
            <family val="2"/>
          </rPr>
          <t xml:space="preserve">Sum of the seven 2026 expense categories. Ties to the detailed P&amp;L grand total on Multi Year Financial Summary (F40).</t>
        </r>
      </text>
    </comment>
    <comment ref="H25" authorId="0" shapeId="0" xr:uid="{F88E305D-9E51-4061-A364-F64198D3086D}">
      <text>
        <r>
          <rPr>
            <b/>
            <sz val="9"/>
            <color indexed="81"/>
            <rFont val="Tahoma"/>
            <charset val="1"/>
          </rPr>
          <t xml:space="preserve">Organizer:</t>
        </r>
        <r>
          <rPr>
            <sz val="9"/>
            <color indexed="81"/>
            <rFont val="Tahoma"/>
            <charset val="1"/>
          </rPr>
          <t xml:space="preserve">
Total Expenses 2027, aligned with the other years.</t>
        </r>
      </text>
    </comment>
    <comment ref="I25" authorId="0" shapeId="0" xr:uid="{73CF96B3-E6B7-4634-9A35-44A3BB88B60B}">
      <text>
        <r>
          <rPr>
            <b/>
            <sz val="9"/>
            <color indexed="81"/>
            <rFont val="Tahoma"/>
            <charset val="1"/>
          </rPr>
          <t xml:space="preserve">Organizer:</t>
        </r>
        <r>
          <rPr>
            <sz val="9"/>
            <color indexed="81"/>
            <rFont val="Tahoma"/>
            <charset val="1"/>
          </rPr>
          <t xml:space="preserve">
Total Expenses 2027 actual.</t>
        </r>
      </text>
    </comment>
    <comment ref="H27" authorId="0" shapeId="0" xr:uid="{DBAB1908-2416-4F19-A0C0-FB6798433121}">
      <text>
        <r>
          <rPr>
            <sz val="9"/>
            <color indexed="81"/>
            <rFont val="Tahoma"/>
            <charset val="1"/>
          </rPr>
          <t xml:space="preserve">Net Profit 2027 = Total Income (H15) minus Total Expenses (H25). Negative until registration income and concession/merch sales come in.</t>
        </r>
      </text>
    </comment>
    <comment ref="I27" authorId="0" shapeId="0" xr:uid="{BE47C85E-A855-4C5D-BB97-3354CA302348}">
      <text>
        <r>
          <rPr>
            <b/>
            <sz val="9"/>
            <color indexed="81"/>
            <rFont val="Tahoma"/>
            <charset val="1"/>
          </rPr>
          <t xml:space="preserve">Organizer:</t>
        </r>
        <r>
          <rPr>
            <sz val="9"/>
            <color indexed="81"/>
            <rFont val="Tahoma"/>
            <charset val="1"/>
          </rPr>
          <t xml:space="preserve">
Net Profit 2027 actual = Total Income − Total Expenses.</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A1" authorId="0" shapeId="0" xr:uid="{DBBC9504-518E-476D-89C1-4CB1EAFE26E0}">
      <text>
        <r>
          <rPr>
            <b/>
            <sz val="9"/>
            <color indexed="81"/>
            <rFont val="Tahoma"/>
            <family val="2"/>
          </rPr>
          <t xml:space="preserve">Organizer:</t>
        </r>
        <r>
          <rPr>
            <sz val="9"/>
            <color indexed="81"/>
            <rFont val="Tahoma"/>
            <family val="2"/>
          </rPr>
          <t xml:space="preserve">
HOW THIS TAB WORKS: detailed multi-year P&amp;L. Columns: 2024/2025/2026 Budget &amp; Actuals (static history), 2027 Budget (mostly carried from 2026, with commentary in column G), 2027 Actuals (blue, type as money moves). The Budget Dashboard reads its category lines from this sheet's 2026 Actuals column; grand total F40 = Dashboard KPI.</t>
        </r>
      </text>
    </comment>
    <comment ref="G2" authorId="0" shapeId="0" xr:uid="{47D8AD37-5871-46C2-BBB6-6DD5AF081AB5}">
      <text>
        <r>
          <rPr>
            <b/>
            <sz val="9"/>
            <color indexed="81"/>
            <rFont val="Tahoma"/>
            <family val="2"/>
          </rPr>
          <t xml:space="preserve">Organizer:</t>
        </r>
        <r>
          <rPr>
            <sz val="9"/>
            <color indexed="81"/>
            <rFont val="Tahoma"/>
            <family val="2"/>
          </rPr>
          <t xml:space="preserve">
2027 budgeted registration income, linked to the driver-based figure on Budget Dashboard (fee × paying teams from Inputs/Registration).</t>
        </r>
      </text>
    </comment>
    <comment ref="F3" authorId="0" shapeId="0" xr:uid="{79EBE3C3-3BEE-423A-A26B-3C3CE3E296EC}">
      <text>
        <r>
          <rPr>
            <b/>
            <sz val="9"/>
            <color indexed="81"/>
            <rFont val="Tahoma"/>
            <charset val="1"/>
          </rPr>
          <t xml:space="preserve">Organizer:</t>
        </r>
        <r>
          <rPr>
            <sz val="9"/>
            <color indexed="81"/>
            <rFont val="Tahoma"/>
            <charset val="1"/>
          </rPr>
          <t xml:space="preserve">
2026 actual, entered as a static value (no external file dependency).</t>
        </r>
      </text>
    </comment>
    <comment ref="F16" authorId="0" shapeId="0" xr:uid="{22BCCD5A-6AFA-464A-B847-60D80858EAAC}">
      <text>
        <r>
          <rPr>
            <b/>
            <sz val="9"/>
            <color indexed="81"/>
            <rFont val="Tahoma"/>
            <family val="2"/>
          </rPr>
          <t xml:space="preserve">Organizer:</t>
        </r>
        <r>
          <rPr>
            <sz val="9"/>
            <color indexed="81"/>
            <rFont val="Tahoma"/>
            <family val="2"/>
          </rPr>
          <t xml:space="preserve">
2026 actual medical staff labor at the hourly rate, summed from the hours each staff member covered.</t>
        </r>
      </text>
    </comment>
    <comment ref="F28" authorId="0" shapeId="0" xr:uid="{33100C91-7074-41C0-ADF1-D84905AFA3D5}">
      <text>
        <r>
          <rPr>
            <b/>
            <sz val="9"/>
            <color indexed="81"/>
            <rFont val="Tahoma"/>
            <charset val="1"/>
          </rPr>
          <t xml:space="preserve">Organizer:</t>
        </r>
        <r>
          <rPr>
            <sz val="9"/>
            <color indexed="81"/>
            <rFont val="Tahoma"/>
            <charset val="1"/>
          </rPr>
          <t xml:space="preserve">
2026 concession supplies actual, entered as a static value.</t>
        </r>
      </text>
    </comment>
    <comment ref="F29" authorId="0" shapeId="0" xr:uid="{802A46F5-7A6D-4AFD-8791-C58B99A84C0A}">
      <text>
        <r>
          <rPr>
            <b/>
            <sz val="9"/>
            <color indexed="81"/>
            <rFont val="Tahoma"/>
            <charset val="1"/>
          </rPr>
          <t xml:space="preserve">Organizer:</t>
        </r>
        <r>
          <rPr>
            <sz val="9"/>
            <color indexed="81"/>
            <rFont val="Tahoma"/>
            <charset val="1"/>
          </rPr>
          <t xml:space="preserve">
2026 T shirt actual, entered as a static value.</t>
        </r>
      </text>
    </comment>
    <comment ref="F32" authorId="0" shapeId="0" xr:uid="{BDFA719F-4CEA-4445-8ACF-B5EEB04CA9FC}">
      <text>
        <r>
          <rPr>
            <b/>
            <sz val="9"/>
            <color indexed="81"/>
            <rFont val="Tahoma"/>
            <charset val="1"/>
          </rPr>
          <t xml:space="preserve">Organizer:</t>
        </r>
        <r>
          <rPr>
            <sz val="9"/>
            <color indexed="81"/>
            <rFont val="Tahoma"/>
            <charset val="1"/>
          </rPr>
          <t xml:space="preserve">
2026 actual (handballs), frozen to a static value so Operations Costs can be reused for 2027 without changing 2026 actuals.</t>
        </r>
      </text>
    </comment>
    <comment ref="F39" authorId="0" shapeId="0" xr:uid="{5945C5B6-0289-4C9D-9A42-CD962BD973B8}">
      <text>
        <r>
          <rPr>
            <b/>
            <sz val="9"/>
            <color indexed="81"/>
            <rFont val="Tahoma"/>
            <family val="2"/>
          </rPr>
          <t xml:space="preserve">Organizer:</t>
        </r>
        <r>
          <rPr>
            <sz val="9"/>
            <color indexed="81"/>
            <rFont val="Tahoma"/>
            <family val="2"/>
          </rPr>
          <t xml:space="preserve">
2026 referee actual, including a few late airport transfer costs.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B6" authorId="0" shapeId="0" xr:uid="{5F66A49E-4506-48E6-82A8-1D72E1C2EC8E}">
      <text>
        <r>
          <rPr>
            <sz val="9"/>
            <color indexed="81"/>
            <rFont val="Tahoma"/>
            <family val="2"/>
          </rPr>
          <t xml:space="preserve">Days referees are present (arrive Friday, leave Sunday = 3 days / 2 nights). The 27-game format adds a Thursday-evening opener (1 game) covered by the local pair: see the schedule-span check below.</t>
        </r>
      </text>
    </comment>
    <comment ref="B13" authorId="0" shapeId="0" xr:uid="{6DB9CD24-62B8-425D-8B85-272D89B68803}">
      <text>
        <r>
          <rPr>
            <b/>
            <sz val="9"/>
            <color indexed="81"/>
            <rFont val="Tahoma"/>
            <charset val="1"/>
          </rPr>
          <t xml:space="preserve">Organizer:</t>
        </r>
        <r>
          <rPr>
            <sz val="9"/>
            <color indexed="81"/>
            <rFont val="Tahoma"/>
            <charset val="1"/>
          </rPr>
          <t xml:space="preserve">
Car rental for the tournament (Fri afternoon: Sun afternoon), per traveling pair.</t>
        </r>
      </text>
    </comment>
    <comment ref="B43" authorId="0" shapeId="0" xr:uid="{EE0DB3D9-8FB3-4DCA-BDE5-D0FAE2532DCC}">
      <text>
        <r>
          <rPr>
            <b/>
            <sz val="9"/>
            <color indexed="81"/>
            <rFont val="Tahoma"/>
            <charset val="1"/>
          </rPr>
          <t xml:space="preserve">Organizer:</t>
        </r>
        <r>
          <rPr>
            <sz val="9"/>
            <color indexed="81"/>
            <rFont val="Tahoma"/>
            <charset val="1"/>
          </rPr>
          <t xml:space="preserve">
Hours of medical staff coverage per game. Daily hours = games that day (from the schedule / Format Engine) × this. Editable.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E5" authorId="0" shapeId="0" xr:uid="{265F5E65-0FA9-4468-B462-DA74E9EB8057}">
      <text>
        <r>
          <rPr>
            <b/>
            <sz val="9"/>
            <color indexed="81"/>
            <rFont val="Tahoma"/>
            <charset val="1"/>
          </rPr>
          <t xml:space="preserve">Organizer:</t>
        </r>
        <r>
          <rPr>
            <sz val="9"/>
            <color indexed="81"/>
            <rFont val="Tahoma"/>
            <charset val="1"/>
          </rPr>
          <t xml:space="preserve">
COGS linked to internal Concession purchase list (was an external link to last year's budget file). Green = cross-sheet link.</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B5" authorId="0" shapeId="0" xr:uid="{1DAAC7FC-9763-4684-8A76-91BDACD67BAE}">
      <text>
        <r>
          <rPr>
            <b/>
            <sz val="9"/>
            <color indexed="81"/>
            <rFont val="Tahoma"/>
            <charset val="1"/>
          </rPr>
          <t xml:space="preserve">Organizer:</t>
        </r>
        <r>
          <rPr>
            <sz val="9"/>
            <color indexed="81"/>
            <rFont val="Tahoma"/>
            <charset val="1"/>
          </rPr>
          <t xml:space="preserve">
Tier-aware delivered base cost. LOOKUP returns the $/unit for the largest quote tier &lt;= forecast qty (B30 = total forecast). Currently 76 units → $67 (75-unit tier). If the forecast crosses a tier boundary, this updates automatically. Source: example all-in quote from the apparel supplier.</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F24" authorId="0" shapeId="0" xr:uid="{E74AA0CA-5E9D-480A-9FA3-296E330CA1FD}">
      <text>
        <r>
          <rPr>
            <sz val="11"/>
            <color theme="1"/>
            <rFont val="Calibri"/>
            <scheme val="minor"/>
          </rPr>
          <t xml:space="preserve">2 slices per sandwich</t>
        </r>
      </text>
    </comment>
    <comment ref="F25" authorId="0" shapeId="0" xr:uid="{49245458-2226-4F91-88E3-D3C6BB455BB8}">
      <text>
        <r>
          <rPr>
            <sz val="11"/>
            <color theme="1"/>
            <rFont val="Calibri"/>
            <scheme val="minor"/>
          </rPr>
          <t xml:space="preserve">2 slices per sandwich</t>
        </r>
      </text>
    </comment>
    <comment ref="F26" authorId="0" shapeId="0" xr:uid="{83C67409-7059-4615-8E79-33B9615897A2}">
      <text>
        <r>
          <rPr>
            <sz val="11"/>
            <color theme="1"/>
            <rFont val="Calibri"/>
            <scheme val="minor"/>
          </rPr>
          <t xml:space="preserve">2 slices per sandwich</t>
        </r>
      </text>
    </comment>
    <comment ref="F27" authorId="0" shapeId="0" xr:uid="{3344DB97-5ED5-4112-851E-D724E70C0CE3}">
      <text>
        <r>
          <rPr>
            <sz val="11"/>
            <color theme="1"/>
            <rFont val="Calibri"/>
            <scheme val="minor"/>
          </rPr>
          <t xml:space="preserve">0.27 oz per sandwich (about 2 tsp)</t>
        </r>
      </text>
    </comment>
    <comment ref="C33" authorId="0" shapeId="0" xr:uid="{AB6EDE4D-A21C-4CE8-AE89-8B0E05CC7411}">
      <text>
        <r>
          <rPr>
            <b/>
            <sz val="9"/>
            <color indexed="81"/>
            <rFont val="Tahoma"/>
            <charset val="1"/>
          </rPr>
          <t xml:space="preserve">Organizer:</t>
        </r>
        <r>
          <rPr>
            <sz val="9"/>
            <color indexed="81"/>
            <rFont val="Tahoma"/>
            <charset val="1"/>
          </rPr>
          <t xml:space="preserve">
2026 actual, entered as a static value.</t>
        </r>
      </text>
    </comment>
    <comment ref="C34" authorId="0" shapeId="0" xr:uid="{C5195591-7885-4A22-BCDD-CE2D3588E7A2}">
      <text>
        <r>
          <rPr>
            <b/>
            <sz val="9"/>
            <color indexed="81"/>
            <rFont val="Tahoma"/>
            <charset val="1"/>
          </rPr>
          <t xml:space="preserve">Organizer:</t>
        </r>
        <r>
          <rPr>
            <sz val="9"/>
            <color indexed="81"/>
            <rFont val="Tahoma"/>
            <charset val="1"/>
          </rPr>
          <t xml:space="preserve">
2026 actual, entered as a static value.</t>
        </r>
      </text>
    </comment>
    <comment ref="C35" authorId="0" shapeId="0" xr:uid="{9E1A8DD4-468C-4A30-8565-CF26C7F9233F}">
      <text>
        <r>
          <rPr>
            <b/>
            <sz val="9"/>
            <color indexed="81"/>
            <rFont val="Tahoma"/>
            <charset val="1"/>
          </rPr>
          <t xml:space="preserve">Organizer:</t>
        </r>
        <r>
          <rPr>
            <sz val="9"/>
            <color indexed="81"/>
            <rFont val="Tahoma"/>
            <charset val="1"/>
          </rPr>
          <t xml:space="preserve">
2026 actual, entered as a static value.</t>
        </r>
      </text>
    </comment>
    <comment ref="C36" authorId="0" shapeId="0" xr:uid="{F10E7F85-4B71-4F0A-A30B-619B39AA2ADF}">
      <text>
        <r>
          <rPr>
            <b/>
            <sz val="9"/>
            <color indexed="81"/>
            <rFont val="Tahoma"/>
            <charset val="1"/>
          </rPr>
          <t xml:space="preserve">Organizer:</t>
        </r>
        <r>
          <rPr>
            <sz val="9"/>
            <color indexed="81"/>
            <rFont val="Tahoma"/>
            <charset val="1"/>
          </rPr>
          <t xml:space="preserve">
2026 actual, entered as a static value.</t>
        </r>
      </text>
    </comment>
    <comment ref="C37" authorId="0" shapeId="0" xr:uid="{74C482AE-70B5-4DF4-A0E5-95E7611F3590}">
      <text>
        <r>
          <rPr>
            <b/>
            <sz val="9"/>
            <color indexed="81"/>
            <rFont val="Tahoma"/>
            <charset val="1"/>
          </rPr>
          <t xml:space="preserve">Organizer:</t>
        </r>
        <r>
          <rPr>
            <sz val="9"/>
            <color indexed="81"/>
            <rFont val="Tahoma"/>
            <charset val="1"/>
          </rPr>
          <t xml:space="preserve">
2026 actual, entered as a static value.</t>
        </r>
      </text>
    </comment>
    <comment ref="D47" authorId="0" shapeId="0" xr:uid="{0DA9DDA3-E6F8-40C2-AF6F-4C76E62F820E}">
      <text>
        <r>
          <rPr>
            <b/>
            <sz val="9"/>
            <color indexed="81"/>
            <rFont val="Tahoma"/>
            <charset val="1"/>
          </rPr>
          <t xml:space="preserve">Organizer:</t>
        </r>
        <r>
          <rPr>
            <sz val="9"/>
            <color indexed="81"/>
            <rFont val="Tahoma"/>
            <charset val="1"/>
          </rPr>
          <t xml:space="preserve">
2026 T shirt cost, entered as a static value.</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B2" authorId="0" shapeId="0" xr:uid="{2365B46B-994D-4853-A0AC-2A8C068863A3}">
      <text>
        <r>
          <rPr>
            <b/>
            <sz val="9"/>
            <color indexed="81"/>
            <rFont val="Tahoma"/>
            <family val="2"/>
          </rPr>
          <t xml:space="preserve">Organizer:</t>
        </r>
        <r>
          <rPr>
            <sz val="9"/>
            <color indexed="81"/>
            <rFont val="Tahoma"/>
            <family val="2"/>
          </rPr>
          <t xml:space="preserve">
Printable booth menu. Prices pull live from Products Master: edit them there, not here. Items missing from Products Master show a blank price.</t>
        </r>
      </text>
    </comment>
    <comment ref="E33" authorId="0" shapeId="0" xr:uid="{1CDAA1EF-B8AC-4427-9D3D-BCF5134E3DCA}">
      <text>
        <r>
          <rPr>
            <b/>
            <sz val="9"/>
            <color indexed="81"/>
            <rFont val="Tahoma"/>
            <family val="2"/>
          </rPr>
          <t xml:space="preserve">Organizer:</t>
        </r>
        <r>
          <rPr>
            <sz val="9"/>
            <color indexed="81"/>
            <rFont val="Tahoma"/>
            <family val="2"/>
          </rPr>
          <t xml:space="preserve">
Single source of truth: Merch Pre-Order (COGS)!G5. Change retail there.</t>
        </r>
      </text>
    </comment>
    <comment ref="E34" authorId="0" shapeId="0" xr:uid="{F6291947-732C-41D4-A416-9E003BEE3B6E}">
      <text>
        <r>
          <rPr>
            <b/>
            <sz val="9"/>
            <color indexed="81"/>
            <rFont val="Tahoma"/>
            <family val="2"/>
          </rPr>
          <t xml:space="preserve">Organizer:</t>
        </r>
        <r>
          <rPr>
            <sz val="9"/>
            <color indexed="81"/>
            <rFont val="Tahoma"/>
            <family val="2"/>
          </rPr>
          <t xml:space="preserve">
Single source of truth: Merch Pre-Order (COGS)!G6.</t>
        </r>
      </text>
    </comment>
    <comment ref="E35" authorId="0" shapeId="0" xr:uid="{5A1B88A3-A40A-4D50-A66A-B3DBE21DDD2A}">
      <text>
        <r>
          <rPr>
            <b/>
            <sz val="9"/>
            <color indexed="81"/>
            <rFont val="Tahoma"/>
            <family val="2"/>
          </rPr>
          <t xml:space="preserve">Organizer:</t>
        </r>
        <r>
          <rPr>
            <sz val="9"/>
            <color indexed="81"/>
            <rFont val="Tahoma"/>
            <family val="2"/>
          </rPr>
          <t xml:space="preserve">
Single source of truth: Merch Pre-Order (COGS)!G7 (=G5+...; bundle retail is a hardcoded input on the merch sheet).</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Organizer</author>
  </authors>
  <commentList>
    <comment ref="A3" authorId="0" shapeId="0" xr:uid="{07330ACC-6774-4153-8228-5AA639E1B095}">
      <text>
        <r>
          <rPr>
            <sz val="9"/>
            <color indexed="81"/>
            <rFont val="Tahoma"/>
            <charset val="1"/>
          </rPr>
          <t xml:space="preserve">Venue from Inputs!C23. Date &amp; Court Time come from the selected Game # (AB3) via helper cells AE15/AE16, which look up the actual per-game Date (Games Schedule col B) and Court Time (col D). Change the game via AB3.</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<sst xmlns="http://schemas.openxmlformats.org/spreadsheetml/2006/main" count="4126" uniqueCount="2087">
  <si>
    <t>🧭 BAY CLASSIC 2027: WORKBOOK NAVIGATION</t>
  </si>
  <si>
    <t>Click any sheet name below to jump straight there. New to this workbook? Start with the Admin Manual.</t>
  </si>
  <si>
    <t>START HERE</t>
  </si>
  <si>
    <t>Control Panel</t>
  </si>
  <si>
    <t>Live dashboard: registration, finance, games, current leaders. Open this first every time.</t>
  </si>
  <si>
    <t>Admin Manual</t>
  </si>
  <si>
    <t>Full step-by-step guide for running the tournament in this workbook.</t>
  </si>
  <si>
    <t>Volunteer Guide</t>
  </si>
  <si>
    <t>Quick guide for volunteers (non-organizers).</t>
  </si>
  <si>
    <t>Model Notes</t>
  </si>
  <si>
    <t>Running log of cleanup/action items for the model itself (organizer use only).</t>
  </si>
  <si>
    <t>MASTER DATA</t>
  </si>
  <si>
    <t>Inputs</t>
  </si>
  <si>
    <t>All tournament settings: dates, times, fee, capacity, venue. Change things here first.</t>
  </si>
  <si>
    <t>Format Engine</t>
  </si>
  <si>
    <t>Internal engine that builds the schedule shape from your format choice. Don't edit.</t>
  </si>
  <si>
    <t>Standings Engine</t>
  </si>
  <si>
    <t>Internal ranking calculations. Don't edit: see Rankings for the readable output.</t>
  </si>
  <si>
    <t>Teams Master</t>
  </si>
  <si>
    <t>Master list of all teams, divisions, group codes, jerseys, contacts.</t>
  </si>
  <si>
    <t>Referees Master</t>
  </si>
  <si>
    <t>Referee roster and pairings.</t>
  </si>
  <si>
    <t>Medical Staff Master</t>
  </si>
  <si>
    <t>Medical staff (physio / athletic trainer) roster, hours and pay.</t>
  </si>
  <si>
    <t>Products Master</t>
  </si>
  <si>
    <t>Concession product list: cost, price, margin.</t>
  </si>
  <si>
    <t>REGISTRATION</t>
  </si>
  <si>
    <t>Registration 2027</t>
  </si>
  <si>
    <t>Team invitations, deposits, payments, roster status &amp; capacity settings</t>
  </si>
  <si>
    <t>GAME OPERATIONS</t>
  </si>
  <si>
    <t>Games Schedule</t>
  </si>
  <si>
    <t>The schedule engine: matchups, times, scores, referees, volunteers.</t>
  </si>
  <si>
    <t>Group Draw</t>
  </si>
  <si>
    <t>Randomized group draw tool; locks codes into Teams Master.</t>
  </si>
  <si>
    <t>Printable Schedule</t>
  </si>
  <si>
    <t>Clean printable version of the schedule.</t>
  </si>
  <si>
    <t>Rankings</t>
  </si>
  <si>
    <t>Group standings, calculated automatically from scores.</t>
  </si>
  <si>
    <t>Final Rankings</t>
  </si>
  <si>
    <t>Final tournament placings and awards.</t>
  </si>
  <si>
    <t>TEAM ROSTERS</t>
  </si>
  <si>
    <t>Rosters Master</t>
  </si>
  <si>
    <t>All team rosters in one place.</t>
  </si>
  <si>
    <t>Roster Template</t>
  </si>
  <si>
    <t>Blank template teams use to submit rosters.</t>
  </si>
  <si>
    <t>STATISTICS &amp; MVP</t>
  </si>
  <si>
    <t>Stats &amp; MVP</t>
  </si>
  <si>
    <t>Top scorers and MVP/MVG leaders, calculated automatically.</t>
  </si>
  <si>
    <t>Individuals Stats Men</t>
  </si>
  <si>
    <t>Enter men's goals per game per player.</t>
  </si>
  <si>
    <t>Individuals Stats Women</t>
  </si>
  <si>
    <t>Enter women's goals per game per player.</t>
  </si>
  <si>
    <t>Voters Master</t>
  </si>
  <si>
    <t>List of eligible MVP voters.</t>
  </si>
  <si>
    <t>Officials Contacts</t>
  </si>
  <si>
    <t>Contact info for team officials.</t>
  </si>
  <si>
    <t>MVP Voting</t>
  </si>
  <si>
    <t>Enter MVP / MVG votes.</t>
  </si>
  <si>
    <t>VOLUNTEERS</t>
  </si>
  <si>
    <t>Volunteer Master List</t>
  </si>
  <si>
    <t>Master volunteer list; hours auto-tally from the assignment sheets.</t>
  </si>
  <si>
    <t>Gym Prep</t>
  </si>
  <si>
    <t>Gym setup/teardown volunteer assignments.</t>
  </si>
  <si>
    <t>Referee Pickup Drop Off</t>
  </si>
  <si>
    <t>Referee transportation volunteer assignments.</t>
  </si>
  <si>
    <t>FINANCE</t>
  </si>
  <si>
    <t>Budget Dashboard</t>
  </si>
  <si>
    <t>Multi-year P&amp;L: income, expenses, net profit, variance.</t>
  </si>
  <si>
    <t>Multi Year Financial Summary</t>
  </si>
  <si>
    <t>Detailed year-by-year actuals (source of truth for Budget Dashboard).</t>
  </si>
  <si>
    <t>Operations Costs</t>
  </si>
  <si>
    <t>Budget vs. actual detail for operational costs (referees, physio, etc.).</t>
  </si>
  <si>
    <t>Concession Projection Details</t>
  </si>
  <si>
    <t>Concession sales projections by item.</t>
  </si>
  <si>
    <t>Concession purchase list</t>
  </si>
  <si>
    <t>Concession shopping list: what to buy, how much.</t>
  </si>
  <si>
    <t>Price List Concession</t>
  </si>
  <si>
    <t>Printable concession menu with prices.</t>
  </si>
  <si>
    <t>Merch Pre-Order (COGS)</t>
  </si>
  <si>
    <t>Commemorative hoodie/hat/bundle: unit economics, pre-order revenue &amp; COGS from the Pre-orders tab, forecast P&amp;L.</t>
  </si>
  <si>
    <t>Pre-orders</t>
  </si>
  <si>
    <t>Merchandise pre-orders, entered manually (one row per order).</t>
  </si>
  <si>
    <t>TEMPLATES</t>
  </si>
  <si>
    <t>Game Sheet</t>
  </si>
  <si>
    <t>Printable one-page officials' sheet: pick a game #, everything else fills in.</t>
  </si>
  <si>
    <t>🏆 BAY CLASSIC 2027: CONTROL PANEL</t>
  </si>
  <si>
    <t>TOURNAMENT FORMAT</t>
  </si>
  <si>
    <t>8M+4W</t>
  </si>
  <si>
    <t>📖 New here? Open the Admin Manual</t>
  </si>
  <si>
    <t>Configuration</t>
  </si>
  <si>
    <t>🧭 See full workbook map</t>
  </si>
  <si>
    <t>Everything on this page calculates automatically: nothing to type here. Change settings on Inputs; log scores on Games Schedule.</t>
  </si>
  <si>
    <t>CURRENT LEADERS</t>
  </si>
  <si>
    <t>Teams Registered</t>
  </si>
  <si>
    <t>Top Scorer (M)</t>
  </si>
  <si>
    <t>Fees Collected</t>
  </si>
  <si>
    <t>Top Scorer (W)</t>
  </si>
  <si>
    <t>MVP (M)</t>
  </si>
  <si>
    <t>FINANCE (2027 Budget)</t>
  </si>
  <si>
    <t>MVP (W)</t>
  </si>
  <si>
    <t>Total Income</t>
  </si>
  <si>
    <t>Total Expenses</t>
  </si>
  <si>
    <t>GROUP LEADERS</t>
  </si>
  <si>
    <t>Net Profit</t>
  </si>
  <si>
    <t>Group A</t>
  </si>
  <si>
    <t>Group B</t>
  </si>
  <si>
    <t>GAMES</t>
  </si>
  <si>
    <t>Women</t>
  </si>
  <si>
    <t>Total Games</t>
  </si>
  <si>
    <t>Games Played</t>
  </si>
  <si>
    <t>Goals Scored</t>
  </si>
  <si>
    <t>PAYMENT TRACKER</t>
  </si>
  <si>
    <t>Status</t>
  </si>
  <si>
    <t>Teams</t>
  </si>
  <si>
    <t>Fully Registered</t>
  </si>
  <si>
    <t>Host Registered</t>
  </si>
  <si>
    <t>Deposit Paid only</t>
  </si>
  <si>
    <t>Not Registered</t>
  </si>
  <si>
    <t>Bay Classic 2027: Model Notes &amp; Action Items</t>
  </si>
  <si>
    <t>Open items to revisit, clean up, automate, or link. Example rows show how to use the log; replace them with your own.</t>
  </si>
  <si>
    <t>#</t>
  </si>
  <si>
    <t>Item</t>
  </si>
  <si>
    <t>Category</t>
  </si>
  <si>
    <t>Location</t>
  </si>
  <si>
    <t>Suggested action / status</t>
  </si>
  <si>
    <t>Assign referee pairs to playoff games</t>
  </si>
  <si>
    <t>Revisit</t>
  </si>
  <si>
    <t>Games Schedule P23:P28</t>
  </si>
  <si>
    <t>OPEN: pick a pair from the box at P34 once group standings are final. Q40 should read 0 and the conflict check at P43 should stay clear.</t>
  </si>
  <si>
    <t>Confirm medical staff hours</t>
  </si>
  <si>
    <t>Medical Staff Master / Games Schedule AA</t>
  </si>
  <si>
    <t>OPEN: make sure every game has a name in col AA. Hours and pay update automatically on Medical Staff Master.</t>
  </si>
  <si>
    <t>Reconcile final payments</t>
  </si>
  <si>
    <t>Clean up</t>
  </si>
  <si>
    <t>Registration 2027 cols E:H</t>
  </si>
  <si>
    <t>IN PROGRESS: enter the Final Pay Date as each balance arrives. Status and Fees Collected update by themselves.</t>
  </si>
  <si>
    <t>Collect missing rosters</t>
  </si>
  <si>
    <t>Registration 2027 col I / Rosters Master</t>
  </si>
  <si>
    <t>OPEN: chase any team without an "x" in Roster Submitted before the draw, then paste the roster into its block.</t>
  </si>
  <si>
    <t>Lock the group draw</t>
  </si>
  <si>
    <t>Link</t>
  </si>
  <si>
    <t>Group Draw I6:I18 to Teams Master E</t>
  </si>
  <si>
    <t>DONE: codes pasted as values into Teams Master col E, so the schedule no longer changes on recalculation.</t>
  </si>
  <si>
    <t>Update concession prices</t>
  </si>
  <si>
    <t>Products Master</t>
  </si>
  <si>
    <t>DONE: COGS and sale prices reviewed. Price List Concession picks them up automatically.</t>
  </si>
  <si>
    <t>Book referee travel</t>
  </si>
  <si>
    <t>Referees Master / Referee Pickup Drop Off</t>
  </si>
  <si>
    <t>OPEN: type flight and hotel costs as they are booked, and add airport pickup times and drivers.</t>
  </si>
  <si>
    <t>Review budget vs actuals after the event</t>
  </si>
  <si>
    <t>Budget Dashboard col I</t>
  </si>
  <si>
    <t>OPEN: type 2027 actuals as money comes in or goes out, then compare with the 2027 Budget column.</t>
  </si>
  <si>
    <t>Completed this review (for reference)</t>
  </si>
  <si>
    <t>✓ Group codes locked into Teams Master after the public draw.</t>
  </si>
  <si>
    <t>✓ Referee pair labels checked against Referees Master col T.</t>
  </si>
  <si>
    <t>✓ Volunteer and medical staff names match the dropdown lists on Games Schedule.</t>
  </si>
  <si>
    <t>✓ Inputs reviewed: start date, fee, deposit %, venue and daily start times.</t>
  </si>
  <si>
    <t>BAY CLASSIC 2027: ORGANIZER ADMIN MANUAL</t>
  </si>
  <si>
    <t>Master operating guide for the tournament workbook. Read the Executive Summary first, then jump to the function you need.</t>
  </si>
  <si>
    <t>1.  EXECUTIVE SUMMARY</t>
  </si>
  <si>
    <t>What this workbook does</t>
  </si>
  <si>
    <t>Runs the entire tournament from one file: registration &amp; payments, the group draw, the game schedule, scores &amp; rankings, player stats &amp; MVP voting, volunteer assignments, concessions, and the full multi-year budget.</t>
  </si>
  <si>
    <t>The big idea</t>
  </si>
  <si>
    <t>It is DRIVER-BASED. You type a small number of inputs in a few designated places; everything else is formulas that recalculate automatically. You almost never edit calculated cells.</t>
  </si>
  <si>
    <t>The 3 places you actually type</t>
  </si>
  <si>
    <t xml:space="preserve">1) INPUTS sheet: all tournament settings (dates, times, fee, capacity, venue).
2) The MASTER DATA tables: Teams, Referees, Rosters, Products, Medical Staff.
3) A few clearly marked entry cells: game scores, player goals, MVP votes, volunteer names.</t>
  </si>
  <si>
    <t>Where to look at a glance</t>
  </si>
  <si>
    <t>CONTROL PANEL: live dashboard of registration, finance, games and current leaders. Open this first every time to see tournament status at a glance.</t>
  </si>
  <si>
    <t>Golden rule</t>
  </si>
  <si>
    <t>If a cell already contains a formula (it calculates a result), DO NOT overwrite it. Only edit input cells. The font color tells you which is which; see Section 5.</t>
  </si>
  <si>
    <t>2.  HOW THE MODEL WORKS  (data flow)</t>
  </si>
  <si>
    <t>Read this top-to-bottom: each layer feeds the next. Change something upstream and everything downstream follows.</t>
  </si>
  <si>
    <t>Layer</t>
  </si>
  <si>
    <t>Sheets</t>
  </si>
  <si>
    <t>Feeds into →</t>
  </si>
  <si>
    <t>1. INPUTS (settings)</t>
  </si>
  <si>
    <t>Games Schedule (dates/times), Registration &amp; Budget (fee/capacity), Game Sheet (venue), Control Panel.</t>
  </si>
  <si>
    <t>2. MASTER DATA</t>
  </si>
  <si>
    <t>Teams Master, Referees Master, Rosters Master, Products Master, Medical Staff Master</t>
  </si>
  <si>
    <t>Group Draw &amp; Games Schedule (team names), Game Sheet (rosters/refs), Concession (products), Budget (medical staff).</t>
  </si>
  <si>
    <t>3. REGISTRATION</t>
  </si>
  <si>
    <t>Control Panel (teams registered, fees collected), Budget Dashboard (paying-team count drives 2027 income).</t>
  </si>
  <si>
    <t>4. DRAW</t>
  </si>
  <si>
    <t>Writes Group Codes into Teams Master → which feed Games Schedule team matchups.</t>
  </si>
  <si>
    <t>5. GAME OPERATIONS</t>
  </si>
  <si>
    <t>Games Schedule (engine), Printable Schedule, Game Sheet</t>
  </si>
  <si>
    <t>Rankings (from scores), Stats, Control Panel. Game Sheet pulls from Schedule + Rosters.</t>
  </si>
  <si>
    <t>6. RESULTS</t>
  </si>
  <si>
    <t>Rankings, Final Rankings, Stats &amp; MVP, Individuals Stats, MVP Voting</t>
  </si>
  <si>
    <t>Control Panel leaders, Final Rankings awards, jersey-color logic in Games Schedule.</t>
  </si>
  <si>
    <t>7. VOLUNTEERS</t>
  </si>
  <si>
    <t>Volunteer Master List, Gym Prep, Referee Pickup Drop Off (Merch Booth assignment is a column on Games Schedule, not a separate sheet)</t>
  </si>
  <si>
    <t>Hours auto-tally on the Volunteer Master List from the assignment sheets.</t>
  </si>
  <si>
    <t>8. FINANCE</t>
  </si>
  <si>
    <t>Budget Dashboard, Multi Year Financial Summary, Operations Costs, Concession sheets, Price List</t>
  </si>
  <si>
    <t>Control Panel finance KPIs. Concession detail rolls up into the Budget Dashboard.</t>
  </si>
  <si>
    <t>3.  WHERE TO START  (setup order for a new year)</t>
  </si>
  <si>
    <t>Do these in order. Each step assumes the one above is done.</t>
  </si>
  <si>
    <t>Step</t>
  </si>
  <si>
    <t>Do this</t>
  </si>
  <si>
    <t>On this sheet</t>
  </si>
  <si>
    <t>Set tournament settings: start date, venue, fee, capacity, daily start times, game durations.</t>
  </si>
  <si>
    <t>Inputs (blue cells C6:C29)</t>
  </si>
  <si>
    <t>Confirm / update the team list, referees, and medical staff (physio / athletic trainer) for the year. Give every team a Short Name &amp; jersey colors in the Team Styles table (Teams Master, cols O:R).</t>
  </si>
  <si>
    <t>Teams Master, Referees Master, Medical Staff Master</t>
  </si>
  <si>
    <t>Track invitations, deposits and final payments as teams confirm.</t>
  </si>
  <si>
    <t>Run the group draw and lock the Group Codes into Teams Master.</t>
  </si>
  <si>
    <t>Group Draw → Teams Master</t>
  </si>
  <si>
    <t>Verify the auto-built schedule (matchups, times, referee pairs) reads correctly.</t>
  </si>
  <si>
    <t>Load rosters, assign volunteers, set up concession products &amp; pricing.</t>
  </si>
  <si>
    <t>Rosters Master, volunteer sheets, Products/Price List</t>
  </si>
  <si>
    <t>During the event: enter scores, goals, votes, and mark volunteer presence.</t>
  </si>
  <si>
    <t>Games Schedule, Individuals Stats, MVP Voting</t>
  </si>
  <si>
    <t>After: confirm final rankings &amp; awards, reconcile actuals in the budget.</t>
  </si>
  <si>
    <t>Final Rankings, Budget Dashboard</t>
  </si>
  <si>
    <t>4.  FUNCTION RECIPES</t>
  </si>
  <si>
    <t>Each block: a one-line summary, where the drivers are, then click-by-click steps.</t>
  </si>
  <si>
    <t>▶ 4.1  SET TOURNAMENT SETTINGS</t>
  </si>
  <si>
    <t>Summary</t>
  </si>
  <si>
    <t>All global settings live on the Inputs sheet. Change them here and dates, times, fees and capacity update everywhere automatically.</t>
  </si>
  <si>
    <t>Drivers</t>
  </si>
  <si>
    <t>Inputs sheet, blue cells: game minutes C6:C9 · capacity C13:C14 · fee C18 · deposit % C19 · start date C22 · venue C23 · daily start times C26:C29.</t>
  </si>
  <si>
    <t>Steps</t>
  </si>
  <si>
    <t>1. Open Inputs.
2. Edit only the yellow/blue cells in column C.
3. Set Tournament Start Date (C22): Day 1; all game dates flow from this.
4. Set the first court time for each day (C26:C29).
5. Done: Games Schedule, Control Panel and Budget recalculate automatically.</t>
  </si>
  <si>
    <t>▶ 4.2  BUILD / VERIFY THE SCHEDULE</t>
  </si>
  <si>
    <t>The Games Schedule is the engine. Game numbers, dates and all the clock times (court, game, halftime, second half, end) are calculated. Matchups come from Group Codes; team names, jersey colors and referee pairs auto-resolve.</t>
  </si>
  <si>
    <t>Times ← Inputs. Matchups ← 'Code Team A' col L &amp; 'Code Team B' col M (you set these codes). Names ← Teams Master. Jerseys ← Rankings. Referees typed in col P.</t>
  </si>
  <si>
    <t>1. Set times via Inputs (recipe 4.1): do NOT type clock times directly here.
2. In cols L &amp; M, enter each game's Group Codes (e.g. A1 vs A2). Team names in N &amp; O fill automatically.
3. Assign a referee pair per game in col P (pairs are listed in the box at P34:P38).
4. Check the 'TBD' cells: they mean a code has no matching team yet.
5. Never insert or delete rows; formulas depend on row positions.</t>
  </si>
  <si>
    <t>⚠ Heads-up</t>
  </si>
  <si>
    <t>Cols D to H (the times) and N, O, Q, R, U, V, W are all formulas: leave them alone. Only L, M, P and the score columns (S, T) are for typing.</t>
  </si>
  <si>
    <t>▶ 4.3  RUN THE GROUP DRAW</t>
  </si>
  <si>
    <t>A random draw assigns registered teams to groups, then writes Group Codes that feed the schedule. Constraint: two teams from the same club cannot be drawn into the same group (the formula flags the host club's men's teams, short names HAR and HAR2).</t>
  </si>
  <si>
    <t>Group Draw sheet. Team list pulls from Teams Master. The draw is random (RAND).</t>
  </si>
  <si>
    <t>1. Open Group Draw. Press F9 to re-roll until you get a fair result (do it once, publicly).
2. Check the validation box (each group = 4, shows OK).
3. Select the 'Drawn Code' column (I6:I18) and Copy.
4. Paste-Special &gt; VALUES into Teams Master column E (Group Code), matched to each team.
5. Once pasted as values the codes are LOCKED and stop changing. The schedule then resolves names from them.</t>
  </si>
  <si>
    <t>▶ 4.4  USE THE GAME SHEET (printable officials' sheet)</t>
  </si>
  <si>
    <t>A one-page, formula-driven sheet for referees/officials. Pick a game number and team names, rosters, referees, date/time and venue all populate.</t>
  </si>
  <si>
    <t>Game Sheet template. Selector cell (game # dropdown). Pulls from Games Schedule, Rosters Master and Inputs (venue).</t>
  </si>
  <si>
    <t>1. Open the Game Sheet template.
2. Select the Game # from the dropdown selector.
3. Teams, rosters, referees and timing fill automatically.
4. Print for officials. Do NOT type team or roster names manually: just change the game number.</t>
  </si>
  <si>
    <t>▶ 4.5  ENTER SCORES &amp; UPDATE RANKINGS</t>
  </si>
  <si>
    <t>Enter each game's two scores; points, rankings and the Control Panel update automatically.</t>
  </si>
  <si>
    <t>Games Schedule: Score Team A = col S, Score Team B = col T. Points (cols U/V) auto: Win=2, Draw=1, Loss=0.</t>
  </si>
  <si>
    <t>1. Find the game row by Game # (col C).
2. Enter Team A's score in col S, Team B's in col T.
3. Points and standings recalculate automatically: do not edit the Rankings sorted tables.
4. Verify on the Rankings sheet that groups updated.</t>
  </si>
  <si>
    <t>▶ 4.6  RECORD PLAYER STATS, MVP &amp; TOP SCORERS</t>
  </si>
  <si>
    <t>Enter goals per player per game; top scorers and award leaders calculate automatically. MVP/MVG come from the voting sheet.</t>
  </si>
  <si>
    <t>Goals: 'Individuals Stats Men' and 'Individuals Stats Women' (players auto-fill from Rosters Master; enter goals per game). Votes: 'MVP Voting'. Results roll up to 'Stats &amp; MVP' and the Control Panel.</t>
  </si>
  <si>
    <t>1. On the Individuals Stats sheet, enter each player's goals per game in the goal columns.
2. Total goals and the Top-5 scorers on 'Stats &amp; MVP' update automatically.
3. Enter MVP/MVG votes on the 'MVP Voting' sheet.
4. Award leaders appear on 'Stats &amp; MVP' and the Control Panel.</t>
  </si>
  <si>
    <t>▶ 4.7  REGISTRATION &amp; PAYMENTS</t>
  </si>
  <si>
    <t>Track invitations, deposits, final payments and roster submission per team. Status drives the Control Panel counters and the 2027 budget income.</t>
  </si>
  <si>
    <t>Registration 2027 table. Fee &amp; deposit % come from Inputs. Status (col J) is AUTOMATIC: 'Host Registered' (Host Team = Yes), 'Fully Registered' (paid in full), 'Deposit Paid' (deposit only).</t>
  </si>
  <si>
    <t>1. As each team confirms, fill its row: invitation "x", Deposit Date, Final Pay Date; the $ amounts auto-fill from the per-team amounts on Budget Dashboard.
2. Mark Roster Submitted (col I) when the team sends its roster.
3. Status (col J) sets itself: never type over it. Control Panel team counts and 'Fees Collected' update automatically.
4. Paying-team count feeds 2027 budgeted registration income.
5. Give each newly confirmed team a Short Name &amp; jerseys in the Team Styles table on Teams Master.</t>
  </si>
  <si>
    <t>▶ 4.8  MANAGE VOLUNTEERS</t>
  </si>
  <si>
    <t>Assign people to roles (timekeeper, scorekeeper, booth, gym prep, referee driving); hours tally automatically on the Volunteer Master List.</t>
  </si>
  <si>
    <t>Games Schedule: Time Keeper col X, Score Keeper col Y, Merch Booth col Z, Medical Staff col AA. Setup on 'Gym Prep'. Driving on 'Referee Pickup Drop Off'.</t>
  </si>
  <si>
    <t>1. Assign names in the relevant sheet's volunteer columns.
2. Always verify a volunteer is NOT playing in that same game.
3. Mark 'Presence Verified' when they arrive.
4. Hours auto-tally on the Volunteer Master List.</t>
  </si>
  <si>
    <t>▶ 4.9  UPDATE THE CONCESSION PRODUCT LIST &amp; PRICING</t>
  </si>
  <si>
    <t>Maintain what's sold at the booth: items, cost (COGS), sale price and margin. This feeds concession revenue projections and the budget.</t>
  </si>
  <si>
    <t>Products Master table (ProductID, Description, Category, COGS, Sale Price; Gross Profit &amp; Margin are formulas). 'Price List Concession' is the printable menu. 'Concession purchase list' is the shopping list.</t>
  </si>
  <si>
    <t>1. Add or edit items in Products Master: set Description, Category, COGS and Sale Price (blue inputs). Gross Profit &amp; Margin calculate automatically.
2. To add a row, type on the first empty row of the table: it expands automatically.
3. Update the printable 'Price List Concession' menu to match.
4. List anything to buy on 'Concession purchase list'.</t>
  </si>
  <si>
    <t>✓ Note</t>
  </si>
  <si>
    <t>RESOLVED: Price List Concession now pulls prices live from the Products Master table (no more external file link). Add new items to Products Master first; the price list picks them up automatically.</t>
  </si>
  <si>
    <t>▶ 4.10  UPDATE THE BUDGET</t>
  </si>
  <si>
    <t>The Budget Dashboard is a multi-year P&amp;L (2024 to 2027) with income, expenses, net profit and variance vs budget / prior year. 2027 budgeted income is driven by the registration fee × paying teams.</t>
  </si>
  <si>
    <t>Budget Dashboard. Registration drivers in the box at M9:N15 (fee &amp; deposit pull from Inputs; paying-teams count from Registration 2027). Detailed actuals live on 'Multi Year Financial Summary' and 'Operations Costs'.</t>
  </si>
  <si>
    <t xml:space="preserve">1. Enter 2027 budget figures in the '2027 Budget' column (income rows 11 to 14, expense rows 18 to 24).
2. Enter actuals in the '2027 Actuals' column as money comes in or goes out.
3. Totals, net profit and variance columns calculate automatically.
4. To change the fee that drives registration income, edit it on Inputs (not here).</t>
  </si>
  <si>
    <t>The detailed P&amp;L on 'Multi Year Financial Summary' carries the authoritative actuals; the Dashboard category lines link to it. Edit detail there, not by overwriting the linked Dashboard cells (green = links to other sheets).</t>
  </si>
  <si>
    <t>5.  CELL COLOR CONVENTIONS  (what's safe to edit)</t>
  </si>
  <si>
    <t>Font color</t>
  </si>
  <si>
    <t>Meaning</t>
  </si>
  <si>
    <t>Edit it?</t>
  </si>
  <si>
    <t>BLUE text</t>
  </si>
  <si>
    <t>Hardcoded input you type (a setting, a score, a price). Often on a yellow background.</t>
  </si>
  <si>
    <t>YES: these are the cells you change.</t>
  </si>
  <si>
    <t>BLACK text</t>
  </si>
  <si>
    <t>A formula that calculates from cells on the same sheet.</t>
  </si>
  <si>
    <t>NO: leave it; it recalculates itself.</t>
  </si>
  <si>
    <t>GREEN text</t>
  </si>
  <si>
    <t>A formula that links to another sheet in this workbook.</t>
  </si>
  <si>
    <t>NO: fix the source sheet instead.</t>
  </si>
  <si>
    <t>RED text</t>
  </si>
  <si>
    <t>A link to an external file (e.g. last year's workbook).</t>
  </si>
  <si>
    <t>Re-point or replace: external links often break.</t>
  </si>
  <si>
    <t>6.  IMPORTANT WARNINGS</t>
  </si>
  <si>
    <t>❌ Do NOT insert or delete rows in Games Schedule: formulas depend on fixed row positions.</t>
  </si>
  <si>
    <t>❌ Do NOT overwrite formula cells (black/green text) or the sorted Rankings tables.</t>
  </si>
  <si>
    <t>❌ Do NOT type team names, times or scores' points by hand: set the driver and let it calculate.</t>
  </si>
  <si>
    <t>✓ Always confirm a volunteer is not playing in the game they're assigned to.</t>
  </si>
  <si>
    <t>✓ Change global settings only on the Inputs sheet: it is the single source of truth.</t>
  </si>
  <si>
    <t>✓ Re-lock Group Codes (paste as values into Teams Master) after the draw so they stop re-rolling.</t>
  </si>
  <si>
    <t>7.  KEY CONTACTS</t>
  </si>
  <si>
    <t>Role</t>
  </si>
  <si>
    <t>Name</t>
  </si>
  <si>
    <t>Phone / Email</t>
  </si>
  <si>
    <t>Tournament Director</t>
  </si>
  <si>
    <t>[Add name]</t>
  </si>
  <si>
    <t>[Add phone / email]</t>
  </si>
  <si>
    <t>Referee Coordinator</t>
  </si>
  <si>
    <t>[Add name]</t>
  </si>
  <si>
    <t>Referee details on 'Referees Master'</t>
  </si>
  <si>
    <t>Volunteer Coordinator</t>
  </si>
  <si>
    <t>Volunteer roster on 'Volunteer Master List'</t>
  </si>
  <si>
    <t>Concession / Finance Lead</t>
  </si>
  <si>
    <t>[Add phone / email]</t>
  </si>
  <si>
    <t>Note: Team-official contacts are on 'Officials Contacts'. Team primary contacts are in 'Teams Master' and 'Registration 2027'.</t>
  </si>
  <si>
    <t>8.  QUICK NAVIGATION</t>
  </si>
  <si>
    <t>Status at a glance → Control Panel   •   All settings → Inputs   •   The engine → Games Schedule</t>
  </si>
  <si>
    <t>Money → Budget Dashboard   •   Awards → Stats &amp; MVP / Final Rankings   •   People → the Master Data tables</t>
  </si>
  <si>
    <t>Volunteers' own quick guide is on the 'Volunteer Guide' sheet.</t>
  </si>
  <si>
    <t>VOLUNTEER QUICK REFERENCE GUIDE</t>
  </si>
  <si>
    <t>⚠️ IMPORTANT: Make sure you are NOT playing when you volunteer!</t>
  </si>
  <si>
    <t>YOUR VOLUNTEER ROLES</t>
  </si>
  <si>
    <t>🕐 TIME KEEPER</t>
  </si>
  <si>
    <t>Location: Scorer's table</t>
  </si>
  <si>
    <t>Duties:</t>
  </si>
  <si>
    <t>• Start/stop game clock</t>
  </si>
  <si>
    <t>• Track timeouts (1 per team per half, 1 minute each)</t>
  </si>
  <si>
    <t>• Signal 2-minute suspensions</t>
  </si>
  <si>
    <t>Arrive: 10 minutes before Court Time</t>
  </si>
  <si>
    <t>📋 SCORE KEEPER</t>
  </si>
  <si>
    <t>• Record all goals on score sheet</t>
  </si>
  <si>
    <t>• Track player suspensions (2 min, red cards)</t>
  </si>
  <si>
    <t>• Track timeouts used</t>
  </si>
  <si>
    <t>• Verify final score with referees</t>
  </si>
  <si>
    <t>🏪 MERCHANDISE BOOTH</t>
  </si>
  <si>
    <t>Location: Merchandise/Concession area</t>
  </si>
  <si>
    <t>Shift Duration: 1 hour</t>
  </si>
  <si>
    <t>• Sell tournament merchandise</t>
  </si>
  <si>
    <t>• Handle cash/card transactions</t>
  </si>
  <si>
    <t>• Keep booth organized</t>
  </si>
  <si>
    <t>• Hand off to next volunteer at shift end</t>
  </si>
  <si>
    <t>🧹 FLOOR SWEEPING</t>
  </si>
  <si>
    <t>Location: Court</t>
  </si>
  <si>
    <t>• Wipe/sweep court during halftime</t>
  </si>
  <si>
    <t>• Clean up any spills immediately</t>
  </si>
  <si>
    <t>🚗 REFEREE PICKUP/DROP-OFF</t>
  </si>
  <si>
    <t>Requirement: Must have a car</t>
  </si>
  <si>
    <t>• Pick up assigned referee at specified time/location</t>
  </si>
  <si>
    <t>• Transport to/from venue</t>
  </si>
  <si>
    <t>• Verify pickup with coordinator</t>
  </si>
  <si>
    <t>GAME TIMING</t>
  </si>
  <si>
    <t>Time</t>
  </si>
  <si>
    <t>Event</t>
  </si>
  <si>
    <t>Court Time</t>
  </si>
  <si>
    <t>Game Time</t>
  </si>
  <si>
    <t>Halftime</t>
  </si>
  <si>
    <t>Second Half</t>
  </si>
  <si>
    <t>End of Game</t>
  </si>
  <si>
    <t>CHECK-IN PROCESS</t>
  </si>
  <si>
    <t>1. Arrive 10 minutes before your assigned time</t>
  </si>
  <si>
    <t>2. Find tournament coordinator or check-in desk</t>
  </si>
  <si>
    <t>3. Your attendance will be marked in "Presence Verified" column</t>
  </si>
  <si>
    <t>4. Get brief instructions from coordinator if needed</t>
  </si>
  <si>
    <t>QUESTIONS?</t>
  </si>
  <si>
    <t>Find any board member (marked in Participants list)</t>
  </si>
  <si>
    <t>They can help with any issues during your shift</t>
  </si>
  <si>
    <t>THANK YOU FOR VOLUNTEERING! 🙌</t>
  </si>
  <si>
    <t>TOURNAMENT INPUTS &amp; ASSUMPTIONS</t>
  </si>
  <si>
    <t>Central source for all tournament settings. Edit here: the rest of the model reads from these cells.</t>
  </si>
  <si>
    <t>GAME PARAMETERS (minutes)</t>
  </si>
  <si>
    <t>Warm up</t>
  </si>
  <si>
    <t>Actual play</t>
  </si>
  <si>
    <t>Incidents/buffer</t>
  </si>
  <si>
    <t>Total slot</t>
  </si>
  <si>
    <t>TOURNAMENT CAPACITY</t>
  </si>
  <si>
    <t>Max Total Teams</t>
  </si>
  <si>
    <t>Max Men's Teams</t>
  </si>
  <si>
    <t>Max Women's Teams</t>
  </si>
  <si>
    <t>REGISTRATION FEE</t>
  </si>
  <si>
    <t>Per-Team Fee</t>
  </si>
  <si>
    <t>Deposit % of Fee</t>
  </si>
  <si>
    <t>EVENT DETAILS</t>
  </si>
  <si>
    <t>Tournament Start Date</t>
  </si>
  <si>
    <t>Venue Name / Location</t>
  </si>
  <si>
    <t>Northside Community Gym, Springfield, CA</t>
  </si>
  <si>
    <t>DAILY START TIMES (first court time each day)</t>
  </si>
  <si>
    <t>Day 1 Start (Game 1)</t>
  </si>
  <si>
    <t>Day 2 Start (Game 2)</t>
  </si>
  <si>
    <t>Day 3 Start (Game 8)</t>
  </si>
  <si>
    <t>Day 4 Start (Game 21)</t>
  </si>
  <si>
    <t>FORMAT ENGINE: Tournament Format Toggle</t>
  </si>
  <si>
    <t>Single switch that re-shapes the whole tournament. Change the Active Format on the Control Panel; every tab follows.</t>
  </si>
  <si>
    <t>The grid below (rows 22-91) is the static master game plan for each format: only edit it to redesign a format. The ACTIVE block (H7:H22) and active schedule update automatically from the toggle.</t>
  </si>
  <si>
    <t>ACTIVE FORMAT →</t>
  </si>
  <si>
    <t>(driven by Control Panel toggle G2)</t>
  </si>
  <si>
    <t>PARAMETERS BY FORMAT</t>
  </si>
  <si>
    <t>Format 1</t>
  </si>
  <si>
    <t>Format 2</t>
  </si>
  <si>
    <t>Format 3</t>
  </si>
  <si>
    <t>ACTIVE</t>
  </si>
  <si>
    <t>↓ read by all tabs</t>
  </si>
  <si>
    <t>Format name</t>
  </si>
  <si>
    <t>8M+5W</t>
  </si>
  <si>
    <t>6M+6W</t>
  </si>
  <si>
    <t>Active format</t>
  </si>
  <si>
    <t>Total teams</t>
  </si>
  <si>
    <t>Men teams</t>
  </si>
  <si>
    <t>Women teams</t>
  </si>
  <si>
    <t>Men groups</t>
  </si>
  <si>
    <t>Women groups</t>
  </si>
  <si>
    <t>Total games</t>
  </si>
  <si>
    <t>Day 1 games</t>
  </si>
  <si>
    <t>Day 2 games</t>
  </si>
  <si>
    <t>Day 3 games</t>
  </si>
  <si>
    <t>Day 4 games</t>
  </si>
  <si>
    <t>Day-1 last game #</t>
  </si>
  <si>
    <t>Day-2 last game #</t>
  </si>
  <si>
    <t>Day-3 last game #</t>
  </si>
  <si>
    <t>Day-4 last game #</t>
  </si>
  <si>
    <t>ACTIVE SCHEDULE (auto-filters to selected format)</t>
  </si>
  <si>
    <t>FormatKey</t>
  </si>
  <si>
    <t>Game</t>
  </si>
  <si>
    <t>Div</t>
  </si>
  <si>
    <t>Gr</t>
  </si>
  <si>
    <t>CodeA</t>
  </si>
  <si>
    <t>Active tournament days</t>
  </si>
  <si>
    <t>K</t>
  </si>
  <si>
    <t>CodeB</t>
  </si>
  <si>
    <t>W</t>
  </si>
  <si>
    <t>W1</t>
  </si>
  <si>
    <t>W2</t>
  </si>
  <si>
    <t>M</t>
  </si>
  <si>
    <t>A</t>
  </si>
  <si>
    <t>A1</t>
  </si>
  <si>
    <t>A2</t>
  </si>
  <si>
    <t>B</t>
  </si>
  <si>
    <t>B1</t>
  </si>
  <si>
    <t>B2</t>
  </si>
  <si>
    <t>W3</t>
  </si>
  <si>
    <t>W4</t>
  </si>
  <si>
    <t>A3</t>
  </si>
  <si>
    <t>A4</t>
  </si>
  <si>
    <t>B3</t>
  </si>
  <si>
    <t>B4</t>
  </si>
  <si>
    <t>W5</t>
  </si>
  <si>
    <t>P</t>
  </si>
  <si>
    <t>WA</t>
  </si>
  <si>
    <t>WA1</t>
  </si>
  <si>
    <t>WA2</t>
  </si>
  <si>
    <t>WB</t>
  </si>
  <si>
    <t>WB1</t>
  </si>
  <si>
    <t>WB2</t>
  </si>
  <si>
    <t>WA3</t>
  </si>
  <si>
    <t>WB3</t>
  </si>
  <si>
    <t>STANDINGS ENGINE: code-driven group standings (all formats)</t>
  </si>
  <si>
    <t>Group = code prefix, seed = digit. Points from non-playoff games only. Playoff matchups resolve their codes (e.g. A1 = Group A winner) against the RankedCode column.</t>
  </si>
  <si>
    <t>Team</t>
  </si>
  <si>
    <t>Code</t>
  </si>
  <si>
    <t>Group</t>
  </si>
  <si>
    <t>Pts</t>
  </si>
  <si>
    <t>GF</t>
  </si>
  <si>
    <t>GA</t>
  </si>
  <si>
    <t>GD</t>
  </si>
  <si>
    <t>RankScore</t>
  </si>
  <si>
    <t>RankInGrp</t>
  </si>
  <si>
    <t>RankedCode</t>
  </si>
  <si>
    <t>Active?</t>
  </si>
  <si>
    <t>TeamID</t>
  </si>
  <si>
    <t>Team Name</t>
  </si>
  <si>
    <t>Short Name</t>
  </si>
  <si>
    <t>Division</t>
  </si>
  <si>
    <t>Group Code</t>
  </si>
  <si>
    <t>Jersey Color Home</t>
  </si>
  <si>
    <t>Jersey Color Away</t>
  </si>
  <si>
    <t>Contact Name</t>
  </si>
  <si>
    <t>Contact Email</t>
  </si>
  <si>
    <t>Contact Phone</t>
  </si>
  <si>
    <t>Reg Status</t>
  </si>
  <si>
    <t>⚠️ Rows fill automatically from Registration 2027 (Status = Fully Registered or Host Registered). Give each team a Short Name + Jerseys in the Team Styles table (O:R) →</t>
  </si>
  <si>
    <t>Code Check</t>
  </si>
  <si>
    <t>Jersey Home</t>
  </si>
  <si>
    <t>Jersey Away</t>
  </si>
  <si>
    <t>A1</t>
  </si>
  <si>
    <t>Harbor HC</t>
  </si>
  <si>
    <t>HAR</t>
  </si>
  <si>
    <t>Navy</t>
  </si>
  <si>
    <t>White</t>
  </si>
  <si>
    <t>A3</t>
  </si>
  <si>
    <t>Mesa Valley</t>
  </si>
  <si>
    <t>MES</t>
  </si>
  <si>
    <t>Red</t>
  </si>
  <si>
    <t>B1</t>
  </si>
  <si>
    <t>Redwood United</t>
  </si>
  <si>
    <t>RED</t>
  </si>
  <si>
    <t>Green</t>
  </si>
  <si>
    <t>B3</t>
  </si>
  <si>
    <t>Pacific Coast</t>
  </si>
  <si>
    <t>PAC</t>
  </si>
  <si>
    <t>Blue</t>
  </si>
  <si>
    <t>Yellow</t>
  </si>
  <si>
    <t>B4</t>
  </si>
  <si>
    <t>Summit City</t>
  </si>
  <si>
    <t>SUM</t>
  </si>
  <si>
    <t>Black</t>
  </si>
  <si>
    <t>Orange</t>
  </si>
  <si>
    <t>A2</t>
  </si>
  <si>
    <t>Lakeside HB</t>
  </si>
  <si>
    <t>LAK</t>
  </si>
  <si>
    <t>Sky Blue</t>
  </si>
  <si>
    <t>B2</t>
  </si>
  <si>
    <t>Canyon Ridge HC</t>
  </si>
  <si>
    <t>CAN</t>
  </si>
  <si>
    <t>Maroon</t>
  </si>
  <si>
    <t>Gold</t>
  </si>
  <si>
    <t>A4</t>
  </si>
  <si>
    <t>Northwind HC</t>
  </si>
  <si>
    <t>NOR</t>
  </si>
  <si>
    <t>Gray</t>
  </si>
  <si>
    <t>W1</t>
  </si>
  <si>
    <t>Harbor HC W</t>
  </si>
  <si>
    <t>HARW</t>
  </si>
  <si>
    <t>W3</t>
  </si>
  <si>
    <t>Redwood United W</t>
  </si>
  <si>
    <t>REDW</t>
  </si>
  <si>
    <t>W2</t>
  </si>
  <si>
    <t>Desert Storm</t>
  </si>
  <si>
    <t>DES</t>
  </si>
  <si>
    <t>W4</t>
  </si>
  <si>
    <t>Bayview</t>
  </si>
  <si>
    <t>BAY</t>
  </si>
  <si>
    <t>Purple</t>
  </si>
  <si>
    <t>Valley Storm HC</t>
  </si>
  <si>
    <t>VAL</t>
  </si>
  <si>
    <t>Teal</t>
  </si>
  <si>
    <t>REFEREE MASTER</t>
  </si>
  <si>
    <t>One row per referee: contacts and travel costs. Blue cells = type; Total Cost calculates. Assign referee pairs to games on Games Schedule; driving shifts on Referee Pickup Drop Off.</t>
  </si>
  <si>
    <t>RefID</t>
  </si>
  <si>
    <t>Email</t>
  </si>
  <si>
    <t>Phone</t>
  </si>
  <si>
    <t>Phone WhatsApp</t>
  </si>
  <si>
    <t>Type</t>
  </si>
  <si>
    <t>Flight Cost</t>
  </si>
  <si>
    <t>Hotel Cost</t>
  </si>
  <si>
    <t>Per Diem</t>
  </si>
  <si>
    <t>Car Rental</t>
  </si>
  <si>
    <t>Total Cost</t>
  </si>
  <si>
    <t>Payment Method</t>
  </si>
  <si>
    <t>Pair #</t>
  </si>
  <si>
    <t>Host-club affiliated?</t>
  </si>
  <si>
    <t>Referee 1</t>
  </si>
  <si>
    <t>Referee 2</t>
  </si>
  <si>
    <t>Pair Label (used in schedule)</t>
  </si>
  <si>
    <t>Host-club pair?</t>
  </si>
  <si>
    <t>R1</t>
  </si>
  <si>
    <t>Selin Ekstrom</t>
  </si>
  <si>
    <t>Overseas</t>
  </si>
  <si>
    <t>selin.ekstrom@example.org</t>
  </si>
  <si>
    <t>555-0139</t>
  </si>
  <si>
    <t>555-0146</t>
  </si>
  <si>
    <t>International</t>
  </si>
  <si>
    <t>Wire</t>
  </si>
  <si>
    <t>No</t>
  </si>
  <si>
    <t>R2</t>
  </si>
  <si>
    <t>Jasper Holm</t>
  </si>
  <si>
    <t>jasper.holm@example.org</t>
  </si>
  <si>
    <t>555-0153</t>
  </si>
  <si>
    <t>555-0160</t>
  </si>
  <si>
    <t>R3</t>
  </si>
  <si>
    <t>Camila Duarte</t>
  </si>
  <si>
    <t>USA</t>
  </si>
  <si>
    <t>camila.duarte@example.org</t>
  </si>
  <si>
    <t>555-0167</t>
  </si>
  <si>
    <t>555-0174</t>
  </si>
  <si>
    <t>Domestic</t>
  </si>
  <si>
    <t>ACH</t>
  </si>
  <si>
    <t>R4</t>
  </si>
  <si>
    <t>Nico Moretti</t>
  </si>
  <si>
    <t>nico.moretti@example.org</t>
  </si>
  <si>
    <t>555-0181</t>
  </si>
  <si>
    <t>555-0188</t>
  </si>
  <si>
    <t>R5</t>
  </si>
  <si>
    <t>Leo Larsen</t>
  </si>
  <si>
    <t>leo.larsen@example.org</t>
  </si>
  <si>
    <t>555-0195</t>
  </si>
  <si>
    <t>555-0102</t>
  </si>
  <si>
    <t>Check</t>
  </si>
  <si>
    <t>R6</t>
  </si>
  <si>
    <t>Silas Kaplan</t>
  </si>
  <si>
    <t>silas.kaplan@example.org</t>
  </si>
  <si>
    <t>555-0109</t>
  </si>
  <si>
    <t>555-0116</t>
  </si>
  <si>
    <t>R7</t>
  </si>
  <si>
    <t>Liam Garza</t>
  </si>
  <si>
    <t>liam.garza@example.org</t>
  </si>
  <si>
    <t>555-0123</t>
  </si>
  <si>
    <t>555-0130</t>
  </si>
  <si>
    <t>Local</t>
  </si>
  <si>
    <t>Yes</t>
  </si>
  <si>
    <t>R8</t>
  </si>
  <si>
    <t>Emeka Dahl</t>
  </si>
  <si>
    <t>emeka.dahl@example.org</t>
  </si>
  <si>
    <t>555-0137</t>
  </si>
  <si>
    <t>555-0144</t>
  </si>
  <si>
    <t>R9</t>
  </si>
  <si>
    <t>Kira Engel</t>
  </si>
  <si>
    <t>kira.engel@example.org</t>
  </si>
  <si>
    <t>555-0151</t>
  </si>
  <si>
    <t>555-0158</t>
  </si>
  <si>
    <t>R10</t>
  </si>
  <si>
    <t>Erik Patel</t>
  </si>
  <si>
    <t>erik.patel@example.org</t>
  </si>
  <si>
    <t>555-0165</t>
  </si>
  <si>
    <t>555-0172</t>
  </si>
  <si>
    <t>MEDICAL STAFF MASTER (PHYSIO / ATHLETIC TRAINER)</t>
  </si>
  <si>
    <t>Type medical staff names &amp; payment handles (blue). Hours pull automatically from the Games Schedule medical staff column; pay = hours × the rate in B3.</t>
  </si>
  <si>
    <t>Rate ($/hr):</t>
  </si>
  <si>
    <t>StaffID</t>
  </si>
  <si>
    <t>Hours Worked</t>
  </si>
  <si>
    <t>Rate $/Hr</t>
  </si>
  <si>
    <t>Total Owed</t>
  </si>
  <si>
    <t>Payment Handle</t>
  </si>
  <si>
    <t>PT1</t>
  </si>
  <si>
    <t>Tomas Toivonen</t>
  </si>
  <si>
    <t>@tomas-toivonen</t>
  </si>
  <si>
    <t>PT2</t>
  </si>
  <si>
    <t>Kofi Nordin</t>
  </si>
  <si>
    <t>@kofi-nordin</t>
  </si>
  <si>
    <t>PT3</t>
  </si>
  <si>
    <t>Kira Kim</t>
  </si>
  <si>
    <t>@kira-kim</t>
  </si>
  <si>
    <t>PT4</t>
  </si>
  <si>
    <t>Astrid Nyberg</t>
  </si>
  <si>
    <t>@astrid-nyberg</t>
  </si>
  <si>
    <t>Total</t>
  </si>
  <si>
    <t>CONCESSION &amp; MERCH PRODUCTS MASTER</t>
  </si>
  <si>
    <t>One row per item sold at the booth: set Description, Category, COGS &amp; Sale Price (blue). Profit &amp; margin calculate. Feeds Price List Concession and revenue projections. Add items on the first empty table row.</t>
  </si>
  <si>
    <t>ProductID</t>
  </si>
  <si>
    <t>Description</t>
  </si>
  <si>
    <t>COGS</t>
  </si>
  <si>
    <t>Sale Price</t>
  </si>
  <si>
    <t>Gross Profit</t>
  </si>
  <si>
    <t>Gross Margin</t>
  </si>
  <si>
    <t>F01</t>
  </si>
  <si>
    <t>Black coffee, per pod</t>
  </si>
  <si>
    <t>Beverage</t>
  </si>
  <si>
    <t>F02</t>
  </si>
  <si>
    <t>Hot chocolate, per pod</t>
  </si>
  <si>
    <t>F03</t>
  </si>
  <si>
    <t>Tea, per pod</t>
  </si>
  <si>
    <t>F04</t>
  </si>
  <si>
    <t>Sports drink 12 oz</t>
  </si>
  <si>
    <t>F05</t>
  </si>
  <si>
    <t>Sports drink 12 oz, 2 for $4</t>
  </si>
  <si>
    <t>F06</t>
  </si>
  <si>
    <t>Grilled sandwich</t>
  </si>
  <si>
    <t>Food</t>
  </si>
  <si>
    <t>F07</t>
  </si>
  <si>
    <t>Grilled sandwich, vegetarian</t>
  </si>
  <si>
    <t>F08</t>
  </si>
  <si>
    <t>Grilled sandwich + sports drink combo</t>
  </si>
  <si>
    <t>Combo</t>
  </si>
  <si>
    <t>F09</t>
  </si>
  <si>
    <t>Vegetarian sandwich + sports drink combo</t>
  </si>
  <si>
    <t>F10</t>
  </si>
  <si>
    <t>Rice cake</t>
  </si>
  <si>
    <t>F11</t>
  </si>
  <si>
    <t>Crepes</t>
  </si>
  <si>
    <t>F12</t>
  </si>
  <si>
    <t>Energy bar, single</t>
  </si>
  <si>
    <t>F13</t>
  </si>
  <si>
    <t>Energy bars, 2 for $4</t>
  </si>
  <si>
    <t>F14</t>
  </si>
  <si>
    <t>Bananas</t>
  </si>
  <si>
    <t>F15</t>
  </si>
  <si>
    <t>Athlete fuel pack (banana, sports drink, energy bar)</t>
  </si>
  <si>
    <t>M01</t>
  </si>
  <si>
    <t>Flat cap</t>
  </si>
  <si>
    <t>Merchandise</t>
  </si>
  <si>
    <t>M02</t>
  </si>
  <si>
    <t>Curved cap</t>
  </si>
  <si>
    <t>M03</t>
  </si>
  <si>
    <t>Replica team jersey, blue</t>
  </si>
  <si>
    <t>M04</t>
  </si>
  <si>
    <t>Replica team jersey, white</t>
  </si>
  <si>
    <t>M05</t>
  </si>
  <si>
    <t>Signed club jersey</t>
  </si>
  <si>
    <t>M06</t>
  </si>
  <si>
    <t>Tournament jersey, 2025 edition</t>
  </si>
  <si>
    <t>M07</t>
  </si>
  <si>
    <t>Tournament jersey, 2026 edition</t>
  </si>
  <si>
    <t>M08</t>
  </si>
  <si>
    <t>Tournament T shirt</t>
  </si>
  <si>
    <t>M09</t>
  </si>
  <si>
    <t>Family bundle</t>
  </si>
  <si>
    <t>M10</t>
  </si>
  <si>
    <t>Elite bundle</t>
  </si>
  <si>
    <t>M11</t>
  </si>
  <si>
    <t>Welcome bundle</t>
  </si>
  <si>
    <t>M12</t>
  </si>
  <si>
    <t>Cap and shirt bundle</t>
  </si>
  <si>
    <t>Invitation Sent</t>
  </si>
  <si>
    <t>Deposit</t>
  </si>
  <si>
    <t>Deposit Date</t>
  </si>
  <si>
    <t>Final Payment</t>
  </si>
  <si>
    <t>Final Pay Date</t>
  </si>
  <si>
    <t>Total Amount</t>
  </si>
  <si>
    <t>Roster Submitted</t>
  </si>
  <si>
    <t>WhatsApp 1</t>
  </si>
  <si>
    <t>Phone 1</t>
  </si>
  <si>
    <t>Host Team</t>
  </si>
  <si>
    <t>Entry Confirmed</t>
  </si>
  <si>
    <t>TOURNAMENT CAPACITY SETTINGS</t>
  </si>
  <si>
    <t>Confirmed</t>
  </si>
  <si>
    <t>Roster Seq</t>
  </si>
  <si>
    <t>Men</t>
  </si>
  <si>
    <t>x</t>
  </si>
  <si>
    <t>Tomas Nieminen</t>
  </si>
  <si>
    <t>tomas.nieminen@example.org</t>
  </si>
  <si>
    <t>555-0107</t>
  </si>
  <si>
    <t>555-0114</t>
  </si>
  <si>
    <t>📝 INPUTS (Editable)</t>
  </si>
  <si>
    <t>Isabel Moretti</t>
  </si>
  <si>
    <t>isabel.moretti@example.org</t>
  </si>
  <si>
    <t>555-0121</t>
  </si>
  <si>
    <t>555-0128</t>
  </si>
  <si>
    <t>Registration Fee:</t>
  </si>
  <si>
    <t>Freya Torres</t>
  </si>
  <si>
    <t>freya.torres@example.org</t>
  </si>
  <si>
    <t>555-0135</t>
  </si>
  <si>
    <t>555-0142</t>
  </si>
  <si>
    <t>Max Total Teams:</t>
  </si>
  <si>
    <t>Pia Larsen</t>
  </si>
  <si>
    <t>pia.larsen@example.org</t>
  </si>
  <si>
    <t>555-0149</t>
  </si>
  <si>
    <t>555-0156</t>
  </si>
  <si>
    <t>Max Men's Teams:</t>
  </si>
  <si>
    <t>Priya Kaplan</t>
  </si>
  <si>
    <t>priya.kaplan@example.org</t>
  </si>
  <si>
    <t>555-0163</t>
  </si>
  <si>
    <t>555-0170</t>
  </si>
  <si>
    <t>Max Women's Teams:</t>
  </si>
  <si>
    <t>Jalen Ibrahim</t>
  </si>
  <si>
    <t>jalen.ibrahim@example.org</t>
  </si>
  <si>
    <t>555-0177</t>
  </si>
  <si>
    <t>555-0184</t>
  </si>
  <si>
    <t>Tove Wong</t>
  </si>
  <si>
    <t>tove.wong@example.org</t>
  </si>
  <si>
    <t>555-0191</t>
  </si>
  <si>
    <t>555-0198</t>
  </si>
  <si>
    <t>📊 REGISTRATION STATUS</t>
  </si>
  <si>
    <t>Fatima Cordova</t>
  </si>
  <si>
    <t>fatima.cordova@example.org</t>
  </si>
  <si>
    <t>555-0105</t>
  </si>
  <si>
    <t>555-0112</t>
  </si>
  <si>
    <t>Host Teams:</t>
  </si>
  <si>
    <t>Teodor Vasquez</t>
  </si>
  <si>
    <t>teodor.vasquez@example.org</t>
  </si>
  <si>
    <t>555-0175</t>
  </si>
  <si>
    <t>555-0182</t>
  </si>
  <si>
    <t>Fully Registered:</t>
  </si>
  <si>
    <t>Women</t>
  </si>
  <si>
    <t>Talia Adeyemi</t>
  </si>
  <si>
    <t>talia.adeyemi@example.org</t>
  </si>
  <si>
    <t>555-0119</t>
  </si>
  <si>
    <t>555-0126</t>
  </si>
  <si>
    <t>Deposit Paid:</t>
  </si>
  <si>
    <t>Sofia Ostrowski</t>
  </si>
  <si>
    <t>sofia.ostrowski@example.org</t>
  </si>
  <si>
    <t>555-0133</t>
  </si>
  <si>
    <t>555-0140</t>
  </si>
  <si>
    <t>Total Confirmed:</t>
  </si>
  <si>
    <t>Camila Engel</t>
  </si>
  <si>
    <t>camila.engel@example.org</t>
  </si>
  <si>
    <t>555-0147</t>
  </si>
  <si>
    <t>555-0154</t>
  </si>
  <si>
    <t>Ingrid Ziegler</t>
  </si>
  <si>
    <t>ingrid.ziegler@example.org</t>
  </si>
  <si>
    <t>555-0161</t>
  </si>
  <si>
    <t>555-0168</t>
  </si>
  <si>
    <t>🎯 SPOTS AVAILABLE</t>
  </si>
  <si>
    <t>Eastbay Women HC</t>
  </si>
  <si>
    <t>Vera Zielinski</t>
  </si>
  <si>
    <t>vera.zielinski@example.org</t>
  </si>
  <si>
    <t>555-0189</t>
  </si>
  <si>
    <t>555-0196</t>
  </si>
  <si>
    <t>Registered Men:</t>
  </si>
  <si>
    <t>Registered Women:</t>
  </si>
  <si>
    <t>Open Spots (Men):</t>
  </si>
  <si>
    <t>Open Spots (Women):</t>
  </si>
  <si>
    <t>FORMAT MATCH CHECK</t>
  </si>
  <si>
    <t>Men confirmed vs slots</t>
  </si>
  <si>
    <t>Women confirmed vs slots</t>
  </si>
  <si>
    <t>Roster ready?</t>
  </si>
  <si>
    <t>Women's Teams</t>
  </si>
  <si>
    <t>No</t>
  </si>
  <si>
    <t>Men's Teams</t>
  </si>
  <si>
    <t>HOW THIS TAB WORKS</t>
  </si>
  <si>
    <t>• One row per team: Men first, then Women. Add new teams in the first empty row of the table (through row 40).</t>
  </si>
  <si>
    <t>• Invitation Sent (col C): type an "x" once the invite has gone out.</t>
  </si>
  <si>
    <t>• Deposit Date (col E): enter the date the deposit is received; Deposit (col D) fills in automatically from the per-team deposit on Budget Dashboard (N14).</t>
  </si>
  <si>
    <t>• Final Pay Date (col G): enter the date the balance is received; Final Payment (col F) fills in automatically (Budget Dashboard N15) and Total (col H) updates.</t>
  </si>
  <si>
    <t>• Status (col J) is automatic: "Host Registered" when Host Team = Yes; "Fully Registered" once Total reaches the registration fee; "Deposit Paid" when only a deposit is in.</t>
  </si>
  <si>
    <t>• Host Team (col O): "Yes" only for the host club's teams (here Harbor HC and Harbor HC W); no payment required.</t>
  </si>
  <si>
    <t>• Capacity panel (cols T:U): registration fee and max team counts are pulled from the Inputs tab; status counts and open spots update on their own.</t>
  </si>
  <si>
    <t>• Short Names &amp; Jerseys: set once per team in the Team Styles table on Teams Master (cols O:R); Teams Master looks them up by exact team name and flags any team missing from that list.</t>
  </si>
  <si>
    <t>• Teams Master (and the sheets built on it) picks up a team automatically once its Status is "Fully Registered" or "Host Registered" (hidden helpers in cols W:X).</t>
  </si>
  <si>
    <t>• Naming: clubs with a team in both divisions add a W suffix to the women's team (e.g. Redwood United / Redwood United W) so every team name is unique.</t>
  </si>
  <si>
    <t>• Rows 41 to 42 summarize registered teams and payments by division.</t>
  </si>
  <si>
    <t>• Roster Submitted (col I): mark "x" when the team sends its player roster; chase before the draw.</t>
  </si>
  <si>
    <t>GAMES SCHEDULE: THE ENGINE. Dates, times, matchups, names &amp; jerseys all calculate from Inputs + Format Engine. Never insert/delete rows or type over black/green cells.</t>
  </si>
  <si>
    <t>You type only: referee pairs (col P; pairs listed in the box at P34), scores (cols S:T, blue) and volunteer names (cols X:AA). Q40 should read 0 when every game has a ref pair; conflict checks are in col AB and P42.</t>
  </si>
  <si>
    <t>MAKE SURE YOU DON’T VOLUNTEER WHEN YOU PLAY!!</t>
  </si>
  <si>
    <t>DO NOT TOUCH ANYTHING BELOW THIS MESSAGE</t>
  </si>
  <si>
    <t>Volunteer Here</t>
  </si>
  <si>
    <t>Date</t>
  </si>
  <si>
    <t>Game #</t>
  </si>
  <si>
    <t>Game time</t>
  </si>
  <si>
    <t>Half time</t>
  </si>
  <si>
    <t>Second Half start</t>
  </si>
  <si>
    <t>End of Game max</t>
  </si>
  <si>
    <t>Div.</t>
  </si>
  <si>
    <t>Gr.</t>
  </si>
  <si>
    <t>Code Team A</t>
  </si>
  <si>
    <t>Code Team B</t>
  </si>
  <si>
    <t>NameTeam A</t>
  </si>
  <si>
    <t>NameTeam B</t>
  </si>
  <si>
    <t>Referees</t>
  </si>
  <si>
    <t>Jersey Color Team A</t>
  </si>
  <si>
    <t>Jersey Color Team B</t>
  </si>
  <si>
    <t>Score Team A</t>
  </si>
  <si>
    <t>Score Team B</t>
  </si>
  <si>
    <t>Points Team A</t>
  </si>
  <si>
    <t>Points Team B</t>
  </si>
  <si>
    <t>Total Pts (Check)</t>
  </si>
  <si>
    <t>Time Keeper</t>
  </si>
  <si>
    <t>Score Keeper</t>
  </si>
  <si>
    <t>Merch Booth</t>
  </si>
  <si>
    <t>Medical Staff</t>
  </si>
  <si>
    <t>Host Ref Check</t>
  </si>
  <si>
    <t>Selin Ekstrom / Jasper Holm</t>
  </si>
  <si>
    <t>Nestor Flynn</t>
  </si>
  <si>
    <t>Nadia Castillo</t>
  </si>
  <si>
    <t>Tobias Bianchi</t>
  </si>
  <si>
    <t>Camila Duarte / Nico Moretti</t>
  </si>
  <si>
    <t>Jasper Singh</t>
  </si>
  <si>
    <t>Amir Rautio</t>
  </si>
  <si>
    <t>Hugo Lowe</t>
  </si>
  <si>
    <t>Leo Larsen / Silas Kaplan</t>
  </si>
  <si>
    <t>Tobias Calloway</t>
  </si>
  <si>
    <t>Ivan Almeida</t>
  </si>
  <si>
    <t>Kai Varga</t>
  </si>
  <si>
    <t>Liam Garza / Emeka Dahl</t>
  </si>
  <si>
    <t>Daria Coleman</t>
  </si>
  <si>
    <t>Bastian Falk</t>
  </si>
  <si>
    <t>Saskia Costa</t>
  </si>
  <si>
    <t>Kira Engel / Erik Patel</t>
  </si>
  <si>
    <t>Nora Bakker</t>
  </si>
  <si>
    <t>Emil Madsen</t>
  </si>
  <si>
    <t>Adaeze Ueda</t>
  </si>
  <si>
    <t>Ryan Wiklund</t>
  </si>
  <si>
    <t>Cole Zhang</t>
  </si>
  <si>
    <t>Nina Becker</t>
  </si>
  <si>
    <t>Amara Bergstrom</t>
  </si>
  <si>
    <t>Magnus Gonzaga</t>
  </si>
  <si>
    <t>Bruno Gallo</t>
  </si>
  <si>
    <t>Erik Marchetti</t>
  </si>
  <si>
    <t>Maja Ferreira</t>
  </si>
  <si>
    <t>Stefan Obi</t>
  </si>
  <si>
    <t>Bram Yilmaz</t>
  </si>
  <si>
    <t>Kai Sorensen</t>
  </si>
  <si>
    <t>Bram Zapata</t>
  </si>
  <si>
    <t>Elif Jensen</t>
  </si>
  <si>
    <t>Priya Rios</t>
  </si>
  <si>
    <t>Ronja Halvorsen</t>
  </si>
  <si>
    <t>Abigail Brennan</t>
  </si>
  <si>
    <t>Kevin Gallagher</t>
  </si>
  <si>
    <t>Rosa Cruz</t>
  </si>
  <si>
    <t>Yara Fontaine</t>
  </si>
  <si>
    <t>Greta Uribe</t>
  </si>
  <si>
    <t>Victor Schmidt</t>
  </si>
  <si>
    <t>Zoe Delgado</t>
  </si>
  <si>
    <t>Selin Nakamura</t>
  </si>
  <si>
    <t>Ronja Doyle</t>
  </si>
  <si>
    <t>Astrid Lambert</t>
  </si>
  <si>
    <t>Gustav Brandt</t>
  </si>
  <si>
    <t>Kevin Chen</t>
  </si>
  <si>
    <t>Edda Morales</t>
  </si>
  <si>
    <t>Bram Cordova</t>
  </si>
  <si>
    <t>(assign manually)</t>
  </si>
  <si>
    <t>Game parameters</t>
  </si>
  <si>
    <t>Referee Pairs</t>
  </si>
  <si>
    <t># of games per pair</t>
  </si>
  <si>
    <t>Incidents</t>
  </si>
  <si>
    <t>URLs to share (Schedule / Live Streaming / Live updates):</t>
  </si>
  <si>
    <t>HOST CLUB REF CONFLICT CHECK</t>
  </si>
  <si>
    <t>https://example.org/schedule</t>
  </si>
  <si>
    <t>https://example.org/live</t>
  </si>
  <si>
    <t>https://example.org/social</t>
  </si>
  <si>
    <t>https://example.org/photos</t>
  </si>
  <si>
    <t>Goals Total</t>
  </si>
  <si>
    <t>GROUP DRAW: Random Assignment of Registered Teams</t>
  </si>
  <si>
    <t>Pure random draw. Constraint: two teams from the same club cannot be in the same group (the formula flags the host club's men's teams, short names HAR and HAR2). Re-roll until satisfied, then lock (see instructions at right). The Group Codes feed Games Schedule automatically.</t>
  </si>
  <si>
    <t>⚠ Before drawing: set the Tournament Format on the Control Panel AND make sure Teams Master holds exactly that format's teams (e.g. 6 men + 6 women for 6M+6W).</t>
  </si>
  <si>
    <t>MEN'S DRAW (8 teams → Group A &amp; Group B)</t>
  </si>
  <si>
    <t>DRAW RESULT (live preview)</t>
  </si>
  <si>
    <t>HOW TO RUN THE DRAW</t>
  </si>
  <si>
    <t>Team (Short Name)</t>
  </si>
  <si>
    <t>Random Key</t>
  </si>
  <si>
    <t>Is host club?</t>
  </si>
  <si>
    <t>Draw Order</t>
  </si>
  <si>
    <t>Assigned Group</t>
  </si>
  <si>
    <t>Drawn Code</t>
  </si>
  <si>
    <t>1. Press F9 to re-roll. Each press is a fresh random draw.</t>
  </si>
  <si>
    <t>2. When you're happy with the result, do it publicly/once so it's fair.</t>
  </si>
  <si>
    <t>3. Select the 'Drawn Code' column (I6:I18), Copy, then Paste-Special &gt; Values into Teams Master column E (Group Code), matching by team.</t>
  </si>
  <si>
    <t>4. Once pasted as values into Teams Master, the codes are LOCKED and stop changing. Games Schedule then resolves team names from these codes.</t>
  </si>
  <si>
    <t>VALIDATION CHECK</t>
  </si>
  <si>
    <t>Group A count:</t>
  </si>
  <si>
    <t>Group B count:</t>
  </si>
  <si>
    <t>Host club split OK:</t>
  </si>
  <si>
    <t>Unique codes:</t>
  </si>
  <si>
    <t>WOMEN'S DRAW (5 teams → Group W)</t>
  </si>
  <si>
    <t>Women pools OK:</t>
  </si>
  <si>
    <t>VALID CODES (vary by format)</t>
  </si>
  <si>
    <t>🏐 Bay Classic 2027: GAME SCHEDULE</t>
  </si>
  <si>
    <t>Team A</t>
  </si>
  <si>
    <t>Team B</t>
  </si>
  <si>
    <t>Score</t>
  </si>
  <si>
    <t>📌 This schedule auto-updates from 'Games Schedule' sheet. Print this for the latest version.</t>
  </si>
  <si>
    <t>RANKINGS: all automatic from Games Schedule scores (sorted via Standings Engine; playoff games excluded). The box at B24:F37 is the jersey/division lookup Games Schedule uses; no typing on this tab.</t>
  </si>
  <si>
    <t>📊 AUTO-SORTED RANKINGS (Excel only)</t>
  </si>
  <si>
    <t>Points</t>
  </si>
  <si>
    <t>Goal For</t>
  </si>
  <si>
    <t>Goal Against</t>
  </si>
  <si>
    <t>Total Goal Difference</t>
  </si>
  <si>
    <t>Rank Score</t>
  </si>
  <si>
    <t>Check</t>
  </si>
  <si>
    <t>Games/Day tracking</t>
  </si>
  <si>
    <t>Jersey Color 1</t>
  </si>
  <si>
    <t>Jersey Color 2</t>
  </si>
  <si>
    <t>Thursday</t>
  </si>
  <si>
    <t>Friday</t>
  </si>
  <si>
    <t>Saturday</t>
  </si>
  <si>
    <t>Sunday</t>
  </si>
  <si>
    <t>Check Total Goals</t>
  </si>
  <si>
    <t>FINAL TOURNAMENT RANKINGS</t>
  </si>
  <si>
    <t>TOURNAMENT AWARDS</t>
  </si>
  <si>
    <t>Everything on this tab auto-fills from game results, standings and votes: nothing to type here.</t>
  </si>
  <si>
    <t>MEN'S DIVISION</t>
  </si>
  <si>
    <t>MEN'S AWARDS</t>
  </si>
  <si>
    <t>🥇 Gold</t>
  </si>
  <si>
    <t>MVP</t>
  </si>
  <si>
    <t>🥈 Silver</t>
  </si>
  <si>
    <t>MVG</t>
  </si>
  <si>
    <t>🥉 Bronze</t>
  </si>
  <si>
    <t>Top Scorer</t>
  </si>
  <si>
    <t>4th</t>
  </si>
  <si>
    <t>Top Scorer Goals</t>
  </si>
  <si>
    <t>5th</t>
  </si>
  <si>
    <t>6th</t>
  </si>
  <si>
    <t>7th</t>
  </si>
  <si>
    <t>8th</t>
  </si>
  <si>
    <t>WOMEN'S DIVISION</t>
  </si>
  <si>
    <t>WOMEN'S AWARDS</t>
  </si>
  <si>
    <t>FINAL PLACEMENTS (auto-computed from game results)</t>
  </si>
  <si>
    <t>Men: medal/placement games (G23-G27). Women: final (G26) + group ranking.</t>
  </si>
  <si>
    <t>MEN'S PLACEMENTS</t>
  </si>
  <si>
    <t>1st (Gold):</t>
  </si>
  <si>
    <t>GROUP STAGE STANDINGS (Auto-calculated)</t>
  </si>
  <si>
    <t>2nd (Silver):</t>
  </si>
  <si>
    <t>3rd (Bronze):</t>
  </si>
  <si>
    <t>4th:</t>
  </si>
  <si>
    <t>5th:</t>
  </si>
  <si>
    <t>6th:</t>
  </si>
  <si>
    <t>7th:</t>
  </si>
  <si>
    <t>8th:</t>
  </si>
  <si>
    <t>WOMEN'S PLACEMENTS</t>
  </si>
  <si>
    <t>Women's Group</t>
  </si>
  <si>
    <t>🏆 BAY CLASSIC PAST WINNERS (PERMANENT RECORD)</t>
  </si>
  <si>
    <t>Hard copy of past Bay Classic winners, editions 1 to 4. Type names in the blue cells; add a column for each new edition.</t>
  </si>
  <si>
    <t>Edition 4 (2026)</t>
  </si>
  <si>
    <t>Edition 3 (2025)</t>
  </si>
  <si>
    <t>Edition 2 (2024)</t>
  </si>
  <si>
    <t>Edition 1 (2023)</t>
  </si>
  <si>
    <t>Coastal Rapids HC</t>
  </si>
  <si>
    <t>Sven Watanabe (Summit City)</t>
  </si>
  <si>
    <t>Ryan Barros (Coastal Rapids HC)</t>
  </si>
  <si>
    <t>Ugo Kaplan (Mesa Valley)</t>
  </si>
  <si>
    <t>Gustav Gallagher (Summit City)</t>
  </si>
  <si>
    <t>MVG (Most Valuable Goalkeeper)</t>
  </si>
  <si>
    <t>Theo Jansen (Coastal Rapids HC)</t>
  </si>
  <si>
    <t>Bastian Strand (Mesa Valley)</t>
  </si>
  <si>
    <t>Dmitri Keller (Summit City)</t>
  </si>
  <si>
    <t>Mikael Garza (Harbor HC)</t>
  </si>
  <si>
    <t>Marco Lindqvist (Harbor HC)</t>
  </si>
  <si>
    <t>Erik Nieminen (Pacific Coast)</t>
  </si>
  <si>
    <t>Xavier Kaur (Coastal Rapids HC)</t>
  </si>
  <si>
    <t>Elias Gallo (Coastal Rapids HC)</t>
  </si>
  <si>
    <t>Top Scorer Goals</t>
  </si>
  <si>
    <t>Granite Peak HC</t>
  </si>
  <si>
    <t>Hana Pajari (Desert Storm)</t>
  </si>
  <si>
    <t>Rosa Bergstrom (Desert Storm)</t>
  </si>
  <si>
    <t>Elena Halvorsen (Bayview)</t>
  </si>
  <si>
    <t>Talia Doyle (Desert Storm)</t>
  </si>
  <si>
    <t>Klara Keller (Bayview)</t>
  </si>
  <si>
    <t>Emma Watanabe (Redwood United W)</t>
  </si>
  <si>
    <t>Ronja Rahman (Redwood United W)</t>
  </si>
  <si>
    <t>Chloe Thorsen (Desert Storm)</t>
  </si>
  <si>
    <t>Carla Dubois (Bayview)</t>
  </si>
  <si>
    <t>Mei Vidal (Granite Peak HC)</t>
  </si>
  <si>
    <t>Fatima Nordin (Granite Peak HC)</t>
  </si>
  <si>
    <t>Saskia Ferreira (Bayview)</t>
  </si>
  <si>
    <t>Bay Classic editions 1 to 4 (2023 to 2026), Northside Community Gym, Springfield, CA</t>
  </si>
  <si>
    <t>Jersey</t>
  </si>
  <si>
    <t>First Name</t>
  </si>
  <si>
    <t>Last Name</t>
  </si>
  <si>
    <t>Position</t>
  </si>
  <si>
    <t>Role / Official</t>
  </si>
  <si>
    <t>WhatsApp</t>
  </si>
  <si>
    <t>Notes</t>
  </si>
  <si>
    <t>Team ID</t>
  </si>
  <si>
    <t>Full Name</t>
  </si>
  <si>
    <t>Lookup Key</t>
  </si>
  <si>
    <t>Type list</t>
  </si>
  <si>
    <t>Jorge</t>
  </si>
  <si>
    <t>Hoffmann</t>
  </si>
  <si>
    <t>GK</t>
  </si>
  <si>
    <t>Player</t>
  </si>
  <si>
    <t>Dante</t>
  </si>
  <si>
    <t>Zielinski</t>
  </si>
  <si>
    <t>Official</t>
  </si>
  <si>
    <t>Julian</t>
  </si>
  <si>
    <t>Pires</t>
  </si>
  <si>
    <t>LW</t>
  </si>
  <si>
    <t>Ahmed</t>
  </si>
  <si>
    <t>Ortega</t>
  </si>
  <si>
    <t>Kai</t>
  </si>
  <si>
    <t>Lowe</t>
  </si>
  <si>
    <t>LB</t>
  </si>
  <si>
    <t>Viktor</t>
  </si>
  <si>
    <t>Rautio</t>
  </si>
  <si>
    <t>Alejandro</t>
  </si>
  <si>
    <t>Pham</t>
  </si>
  <si>
    <t>Hamza</t>
  </si>
  <si>
    <t>Weber</t>
  </si>
  <si>
    <t>CB</t>
  </si>
  <si>
    <t>Rasmus</t>
  </si>
  <si>
    <t>Gallagher</t>
  </si>
  <si>
    <t>Pablo</t>
  </si>
  <si>
    <t>Nguyen</t>
  </si>
  <si>
    <t>Hugo</t>
  </si>
  <si>
    <t>Nyberg</t>
  </si>
  <si>
    <t>RB</t>
  </si>
  <si>
    <t>Sven</t>
  </si>
  <si>
    <t>Toivonen</t>
  </si>
  <si>
    <t>Karim</t>
  </si>
  <si>
    <t>Hayes</t>
  </si>
  <si>
    <t>RW</t>
  </si>
  <si>
    <t>Teodor</t>
  </si>
  <si>
    <t>Nakamura</t>
  </si>
  <si>
    <t>Mikael</t>
  </si>
  <si>
    <t>Sandberg</t>
  </si>
  <si>
    <t>PIV</t>
  </si>
  <si>
    <t>Malik</t>
  </si>
  <si>
    <t>Ferreira</t>
  </si>
  <si>
    <t>Wren</t>
  </si>
  <si>
    <t>Dlamini</t>
  </si>
  <si>
    <t>555-0103</t>
  </si>
  <si>
    <t>wren.dlamini@example.org</t>
  </si>
  <si>
    <t>Josie</t>
  </si>
  <si>
    <t>Kruger</t>
  </si>
  <si>
    <t>555-0110</t>
  </si>
  <si>
    <t>josie.kruger@example.org</t>
  </si>
  <si>
    <t>Daria</t>
  </si>
  <si>
    <t>555-0117</t>
  </si>
  <si>
    <t>daria.ortega@example.org</t>
  </si>
  <si>
    <t>Oscar</t>
  </si>
  <si>
    <t>Okonkwo</t>
  </si>
  <si>
    <t>555-0124</t>
  </si>
  <si>
    <t>oscar.okonkwo@example.org</t>
  </si>
  <si>
    <t>Rohan</t>
  </si>
  <si>
    <t>Kowalski</t>
  </si>
  <si>
    <t>Gideon</t>
  </si>
  <si>
    <t>Brandt</t>
  </si>
  <si>
    <t>Petrov</t>
  </si>
  <si>
    <t>Stefan</t>
  </si>
  <si>
    <t>Doyle</t>
  </si>
  <si>
    <t>Jonas</t>
  </si>
  <si>
    <t>Rios</t>
  </si>
  <si>
    <t>Yusuf</t>
  </si>
  <si>
    <t>Sorensen</t>
  </si>
  <si>
    <t>Anton</t>
  </si>
  <si>
    <t>Torres</t>
  </si>
  <si>
    <t>Sebastian</t>
  </si>
  <si>
    <t>Keller</t>
  </si>
  <si>
    <t>Quentin</t>
  </si>
  <si>
    <t>Jaramillo</t>
  </si>
  <si>
    <t>Zane</t>
  </si>
  <si>
    <t>Takahashi</t>
  </si>
  <si>
    <t>Zhang</t>
  </si>
  <si>
    <t>Carlos</t>
  </si>
  <si>
    <t>Becker</t>
  </si>
  <si>
    <t>Adrian</t>
  </si>
  <si>
    <t>Bianchi</t>
  </si>
  <si>
    <t>Idris</t>
  </si>
  <si>
    <t>Osei</t>
  </si>
  <si>
    <t>Darius</t>
  </si>
  <si>
    <t>Winter</t>
  </si>
  <si>
    <t>Nico</t>
  </si>
  <si>
    <t>Pajari</t>
  </si>
  <si>
    <t>Farid</t>
  </si>
  <si>
    <t>Vasquez</t>
  </si>
  <si>
    <t>555-0131</t>
  </si>
  <si>
    <t>farid.vasquez@example.org</t>
  </si>
  <si>
    <t>Selin</t>
  </si>
  <si>
    <t>555-0138</t>
  </si>
  <si>
    <t>selin.vasquez@example.org</t>
  </si>
  <si>
    <t>Rania</t>
  </si>
  <si>
    <t>555-0145</t>
  </si>
  <si>
    <t>rania.hoffmann@example.org</t>
  </si>
  <si>
    <t>Yara</t>
  </si>
  <si>
    <t>555-0152</t>
  </si>
  <si>
    <t>yara.nyberg@example.org</t>
  </si>
  <si>
    <t>Varga</t>
  </si>
  <si>
    <t>Marco</t>
  </si>
  <si>
    <t>Tanaka</t>
  </si>
  <si>
    <t>Bakker</t>
  </si>
  <si>
    <t>Castillo</t>
  </si>
  <si>
    <t>Marchetti</t>
  </si>
  <si>
    <t>Tomas</t>
  </si>
  <si>
    <t>Laine</t>
  </si>
  <si>
    <t>Achterberg</t>
  </si>
  <si>
    <t>Bram</t>
  </si>
  <si>
    <t>Calloway</t>
  </si>
  <si>
    <t>Liam</t>
  </si>
  <si>
    <t>Nieminen</t>
  </si>
  <si>
    <t>Kevin</t>
  </si>
  <si>
    <t>Dubois</t>
  </si>
  <si>
    <t>Moreau</t>
  </si>
  <si>
    <t>Delgado</t>
  </si>
  <si>
    <t>Talia</t>
  </si>
  <si>
    <t>Quinn</t>
  </si>
  <si>
    <t>555-0159</t>
  </si>
  <si>
    <t>talia.quinn@example.org</t>
  </si>
  <si>
    <t>Jasper</t>
  </si>
  <si>
    <t>555-0166</t>
  </si>
  <si>
    <t>jasper.delgado@example.org</t>
  </si>
  <si>
    <t>Rocha</t>
  </si>
  <si>
    <t>555-0173</t>
  </si>
  <si>
    <t>hugo.rocha@example.org</t>
  </si>
  <si>
    <t>Maja</t>
  </si>
  <si>
    <t>Iversen</t>
  </si>
  <si>
    <t>555-0180</t>
  </si>
  <si>
    <t>maja.iversen@example.org</t>
  </si>
  <si>
    <t>Samir</t>
  </si>
  <si>
    <t>Holm</t>
  </si>
  <si>
    <t>Ibrahim</t>
  </si>
  <si>
    <t>Abara</t>
  </si>
  <si>
    <t>Vasco</t>
  </si>
  <si>
    <t>Byrne</t>
  </si>
  <si>
    <t>Luis</t>
  </si>
  <si>
    <t>Ahn</t>
  </si>
  <si>
    <t>Kenji</t>
  </si>
  <si>
    <t>Henrik</t>
  </si>
  <si>
    <t>Esposito</t>
  </si>
  <si>
    <t>Thorsen</t>
  </si>
  <si>
    <t>Nordin</t>
  </si>
  <si>
    <t>Arjun</t>
  </si>
  <si>
    <t>Ekstrom</t>
  </si>
  <si>
    <t>Rafael</t>
  </si>
  <si>
    <t>Fontaine</t>
  </si>
  <si>
    <t>Thea</t>
  </si>
  <si>
    <t>Zapata</t>
  </si>
  <si>
    <t>555-0187</t>
  </si>
  <si>
    <t>thea.zapata@example.org</t>
  </si>
  <si>
    <t>Ilya</t>
  </si>
  <si>
    <t>555-0194</t>
  </si>
  <si>
    <t>ilya.zapata@example.org</t>
  </si>
  <si>
    <t>Edda</t>
  </si>
  <si>
    <t>555-0101</t>
  </si>
  <si>
    <t>edda.zielinski@example.org</t>
  </si>
  <si>
    <t>Dario</t>
  </si>
  <si>
    <t>Carvalho</t>
  </si>
  <si>
    <t>555-0108</t>
  </si>
  <si>
    <t>dario.carvalho@example.org</t>
  </si>
  <si>
    <t>Eriksen</t>
  </si>
  <si>
    <t>Caleb</t>
  </si>
  <si>
    <t>Quiroga</t>
  </si>
  <si>
    <t>Joel</t>
  </si>
  <si>
    <t>Flynn</t>
  </si>
  <si>
    <t>Enzo</t>
  </si>
  <si>
    <t>Mattila</t>
  </si>
  <si>
    <t>Aaron</t>
  </si>
  <si>
    <t>Novak</t>
  </si>
  <si>
    <t>Noah</t>
  </si>
  <si>
    <t>Almeida</t>
  </si>
  <si>
    <t>Lars</t>
  </si>
  <si>
    <t>Wiklund</t>
  </si>
  <si>
    <t>Ivan</t>
  </si>
  <si>
    <t>Coleman</t>
  </si>
  <si>
    <t>Levi</t>
  </si>
  <si>
    <t>Park</t>
  </si>
  <si>
    <t>Strand</t>
  </si>
  <si>
    <t>Sara</t>
  </si>
  <si>
    <t>555-0115</t>
  </si>
  <si>
    <t>sara.vasquez@example.org</t>
  </si>
  <si>
    <t>Pereira</t>
  </si>
  <si>
    <t>555-0122</t>
  </si>
  <si>
    <t>edda.pereira@example.org</t>
  </si>
  <si>
    <t>Ximena</t>
  </si>
  <si>
    <t>555-0129</t>
  </si>
  <si>
    <t>ximena.coleman@example.org</t>
  </si>
  <si>
    <t>Beatriz</t>
  </si>
  <si>
    <t>Aalto</t>
  </si>
  <si>
    <t>555-0136</t>
  </si>
  <si>
    <t>beatriz.aalto@example.org</t>
  </si>
  <si>
    <t>Vidal</t>
  </si>
  <si>
    <t>Farouk</t>
  </si>
  <si>
    <t>Fabian</t>
  </si>
  <si>
    <t>Erik</t>
  </si>
  <si>
    <t>Bergstrom</t>
  </si>
  <si>
    <t>Gabriel</t>
  </si>
  <si>
    <t>Banerjee</t>
  </si>
  <si>
    <t>Amir</t>
  </si>
  <si>
    <t>Orion</t>
  </si>
  <si>
    <t>Olsen</t>
  </si>
  <si>
    <t>Ryan</t>
  </si>
  <si>
    <t>Kaplan</t>
  </si>
  <si>
    <t>Silas</t>
  </si>
  <si>
    <t>Ugo</t>
  </si>
  <si>
    <t>Kolar</t>
  </si>
  <si>
    <t>555-0143</t>
  </si>
  <si>
    <t>ugo.kolar@example.org</t>
  </si>
  <si>
    <t>Rahman</t>
  </si>
  <si>
    <t>555-0150</t>
  </si>
  <si>
    <t>malik.rahman@example.org</t>
  </si>
  <si>
    <t>Bastian</t>
  </si>
  <si>
    <t>Salonen</t>
  </si>
  <si>
    <t>555-0157</t>
  </si>
  <si>
    <t>bastian.salonen@example.org</t>
  </si>
  <si>
    <t>555-0164</t>
  </si>
  <si>
    <t>bastian.hayes@example.org</t>
  </si>
  <si>
    <t>Mateo</t>
  </si>
  <si>
    <t>Oliver</t>
  </si>
  <si>
    <t>Demir</t>
  </si>
  <si>
    <t>Emil</t>
  </si>
  <si>
    <t>Milan</t>
  </si>
  <si>
    <t>Valdez</t>
  </si>
  <si>
    <t>Magnus</t>
  </si>
  <si>
    <t>Larsen</t>
  </si>
  <si>
    <t>Kavanagh</t>
  </si>
  <si>
    <t>Bea</t>
  </si>
  <si>
    <t>555-0171</t>
  </si>
  <si>
    <t>bea.byrne@example.org</t>
  </si>
  <si>
    <t>Noor</t>
  </si>
  <si>
    <t>555-0178</t>
  </si>
  <si>
    <t>noor.ferreira@example.org</t>
  </si>
  <si>
    <t>Leo</t>
  </si>
  <si>
    <t>Watanabe</t>
  </si>
  <si>
    <t>555-0185</t>
  </si>
  <si>
    <t>leo.watanabe@example.org</t>
  </si>
  <si>
    <t>555-0192</t>
  </si>
  <si>
    <t>silas.novak@example.org</t>
  </si>
  <si>
    <t>Mendes</t>
  </si>
  <si>
    <t>Jalen</t>
  </si>
  <si>
    <t>Yannick</t>
  </si>
  <si>
    <t>Xavier</t>
  </si>
  <si>
    <t>Garza</t>
  </si>
  <si>
    <t>Arslan</t>
  </si>
  <si>
    <t>Engel</t>
  </si>
  <si>
    <t>Duarte</t>
  </si>
  <si>
    <t>Madsen</t>
  </si>
  <si>
    <t>Aiden</t>
  </si>
  <si>
    <t>Pavel</t>
  </si>
  <si>
    <t>555-0199</t>
  </si>
  <si>
    <t>dante.gallagher@example.org</t>
  </si>
  <si>
    <t>555-0106</t>
  </si>
  <si>
    <t>zane.watanabe@example.org</t>
  </si>
  <si>
    <t>Ziegler</t>
  </si>
  <si>
    <t>555-0113</t>
  </si>
  <si>
    <t>arjun.ziegler@example.org</t>
  </si>
  <si>
    <t>Wong</t>
  </si>
  <si>
    <t>555-0120</t>
  </si>
  <si>
    <t>viktor.wong@example.org</t>
  </si>
  <si>
    <t>Lotte</t>
  </si>
  <si>
    <t>Halvorsen</t>
  </si>
  <si>
    <t>Vera</t>
  </si>
  <si>
    <t>Hartley</t>
  </si>
  <si>
    <t>Zoe</t>
  </si>
  <si>
    <t>Greta</t>
  </si>
  <si>
    <t>Haddad</t>
  </si>
  <si>
    <t>Ines</t>
  </si>
  <si>
    <t>Valentina</t>
  </si>
  <si>
    <t>Adeyemi</t>
  </si>
  <si>
    <t>Petra</t>
  </si>
  <si>
    <t>Naomi</t>
  </si>
  <si>
    <t>Elif</t>
  </si>
  <si>
    <t>Lina</t>
  </si>
  <si>
    <t>Hedda</t>
  </si>
  <si>
    <t>Aisha</t>
  </si>
  <si>
    <t>Terzic</t>
  </si>
  <si>
    <t>Linnea</t>
  </si>
  <si>
    <t>Uribe</t>
  </si>
  <si>
    <t>Mei</t>
  </si>
  <si>
    <t>555-0127</t>
  </si>
  <si>
    <t>mei.halvorsen@example.org</t>
  </si>
  <si>
    <t>555-0134</t>
  </si>
  <si>
    <t>vera.holm@example.org</t>
  </si>
  <si>
    <t>Tariq</t>
  </si>
  <si>
    <t>Fofana</t>
  </si>
  <si>
    <t>555-0141</t>
  </si>
  <si>
    <t>tariq.fofana@example.org</t>
  </si>
  <si>
    <t>555-0148</t>
  </si>
  <si>
    <t>oscar.zhang@example.org</t>
  </si>
  <si>
    <t>Helena</t>
  </si>
  <si>
    <t>Schmidt</t>
  </si>
  <si>
    <t>Nora</t>
  </si>
  <si>
    <t>Dahl</t>
  </si>
  <si>
    <t>Gonzaga</t>
  </si>
  <si>
    <t>Gaia</t>
  </si>
  <si>
    <t>Priya</t>
  </si>
  <si>
    <t>Ronja</t>
  </si>
  <si>
    <t>Nina</t>
  </si>
  <si>
    <t>Haugen</t>
  </si>
  <si>
    <t>Lana</t>
  </si>
  <si>
    <t>Camila</t>
  </si>
  <si>
    <t>Carla</t>
  </si>
  <si>
    <t>Gallo</t>
  </si>
  <si>
    <t>Leah</t>
  </si>
  <si>
    <t>Oyelaran</t>
  </si>
  <si>
    <t>Nadia</t>
  </si>
  <si>
    <t>Elena</t>
  </si>
  <si>
    <t>Mwangi</t>
  </si>
  <si>
    <t>555-0155</t>
  </si>
  <si>
    <t>maja.mwangi@example.org</t>
  </si>
  <si>
    <t>Emma</t>
  </si>
  <si>
    <t>555-0162</t>
  </si>
  <si>
    <t>emma.rocha@example.org</t>
  </si>
  <si>
    <t>Gustav</t>
  </si>
  <si>
    <t>Lambert</t>
  </si>
  <si>
    <t>555-0169</t>
  </si>
  <si>
    <t>gustav.lambert@example.org</t>
  </si>
  <si>
    <t>555-0176</t>
  </si>
  <si>
    <t>gaia.adeyemi@example.org</t>
  </si>
  <si>
    <t>Uma</t>
  </si>
  <si>
    <t>Grace</t>
  </si>
  <si>
    <t>Abigail</t>
  </si>
  <si>
    <t>Lucia</t>
  </si>
  <si>
    <t>Ishikawa</t>
  </si>
  <si>
    <t>Singh</t>
  </si>
  <si>
    <t>Celine</t>
  </si>
  <si>
    <t>Hana</t>
  </si>
  <si>
    <t>Brennan</t>
  </si>
  <si>
    <t>Marta</t>
  </si>
  <si>
    <t>Wiktor</t>
  </si>
  <si>
    <t>555-0183</t>
  </si>
  <si>
    <t>wiktor.larsen@example.org</t>
  </si>
  <si>
    <t>555-0190</t>
  </si>
  <si>
    <t>hugo.gallo@example.org</t>
  </si>
  <si>
    <t>555-0197</t>
  </si>
  <si>
    <t>nadia.zapata@example.org</t>
  </si>
  <si>
    <t>Ostrowski</t>
  </si>
  <si>
    <t>555-0104</t>
  </si>
  <si>
    <t>gideon.ostrowski@example.org</t>
  </si>
  <si>
    <t>Anika</t>
  </si>
  <si>
    <t>Sauer</t>
  </si>
  <si>
    <t>Astrid</t>
  </si>
  <si>
    <t>Cruz</t>
  </si>
  <si>
    <t>Yuki</t>
  </si>
  <si>
    <t>Jade</t>
  </si>
  <si>
    <t>Moretti</t>
  </si>
  <si>
    <t>Adaeze</t>
  </si>
  <si>
    <t>Yilmaz</t>
  </si>
  <si>
    <t>555-0111</t>
  </si>
  <si>
    <t>uma.ostrowski@example.org</t>
  </si>
  <si>
    <t>Chloe</t>
  </si>
  <si>
    <t>555-0118</t>
  </si>
  <si>
    <t>chloe.sauer@example.org</t>
  </si>
  <si>
    <t>555-0125</t>
  </si>
  <si>
    <t>aisha.mattila@example.org</t>
  </si>
  <si>
    <t>555-0132</t>
  </si>
  <si>
    <t>kai.pham@example.org</t>
  </si>
  <si>
    <t>TEAM ROSTER SUBMISSION</t>
  </si>
  <si>
    <t>Pick your team in B4, then fill one row per person (players first, then officials). Don't change the column order. Return as Excel, not PDF.</t>
  </si>
  <si>
    <t>Team Name:</t>
  </si>
  <si>
    <t>Division:</t>
  </si>
  <si>
    <t>Registered Teams</t>
  </si>
  <si>
    <t>Positions</t>
  </si>
  <si>
    <t>Roles</t>
  </si>
  <si>
    <t>HOW TO USE THIS TEMPLATE</t>
  </si>
  <si>
    <t>GK</t>
  </si>
  <si>
    <t>1. Pick your Team Name in B4 (yellow cell).</t>
  </si>
  <si>
    <t>LW</t>
  </si>
  <si>
    <t>Captain</t>
  </si>
  <si>
    <t>2. Fill ONE ROW PER PERSON below, top to bottom.</t>
  </si>
  <si>
    <t>LB</t>
  </si>
  <si>
    <t>Official A</t>
  </si>
  <si>
    <t>3. Set Type = Player or Official on each row (dropdown).</t>
  </si>
  <si>
    <t>CB</t>
  </si>
  <si>
    <t>Official B</t>
  </si>
  <si>
    <t>4. Players: enter Jersey, names, Position, Role. Officials: names, Role (Official A/B...), WhatsApp, Email. Official A = main contact &amp; MVP/MVG voter.</t>
  </si>
  <si>
    <t>RB</t>
  </si>
  <si>
    <t>Official C</t>
  </si>
  <si>
    <t>5. The Team column fills itself: don't type in column A.</t>
  </si>
  <si>
    <t>RW</t>
  </si>
  <si>
    <t>Official D</t>
  </si>
  <si>
    <t>6. Return as an Excel file (not PDF). Don't change the columns.</t>
  </si>
  <si>
    <t>PIV</t>
  </si>
  <si>
    <t>ORGANIZERS: ONE-STEP IMPORT</t>
  </si>
  <si>
    <t>Select A7:J31 on this sheet (data only, no headers), Copy, then Paste-Special &gt; Values into the first empty row of Rosters Master column A. Players and officials import together in one motion: K to N there auto-calculate.</t>
  </si>
  <si>
    <t>📊 PLAYER STATISTICS &amp; MVP SUMMARY</t>
  </si>
  <si>
    <t>Goal data is entered manually in the 'Individuals Stats Men' and 'Individuals Stats Women' sheets. MVP voting is in 'MVP Voting' sheet.</t>
  </si>
  <si>
    <t>🏆 TOP SCORERS: MEN (Auto-calculated)</t>
  </si>
  <si>
    <t>🏆 CURRENT AWARD LEADERS</t>
  </si>
  <si>
    <t>Rank</t>
  </si>
  <si>
    <t>Player Name</t>
  </si>
  <si>
    <t>Total Goals</t>
  </si>
  <si>
    <t>Award</t>
  </si>
  <si>
    <t>Leader</t>
  </si>
  <si>
    <t>Points/Goals</t>
  </si>
  <si>
    <t>Top Scorer Men</t>
  </si>
  <si>
    <t>Top Scorer Women</t>
  </si>
  <si>
    <t>MVP Men</t>
  </si>
  <si>
    <t>MVP Women</t>
  </si>
  <si>
    <t>MVG Men</t>
  </si>
  <si>
    <t>MVG Women</t>
  </si>
  <si>
    <t>🏆 TOP SCORERS: WOMEN (Auto-calculated)</t>
  </si>
  <si>
    <t>📊 INDIVIDUAL STATISTICS: MEN</t>
  </si>
  <si>
    <t>Jersey #</t>
  </si>
  <si>
    <t>Game 1</t>
  </si>
  <si>
    <t>Game 2</t>
  </si>
  <si>
    <t>Game 3</t>
  </si>
  <si>
    <t>Game 4</t>
  </si>
  <si>
    <t>TEAM EXTREMES (Men)</t>
  </si>
  <si>
    <t>Best Offense</t>
  </si>
  <si>
    <t>Best Defense</t>
  </si>
  <si>
    <t>📊 INDIVIDUAL STATISTICS: WOMEN</t>
  </si>
  <si>
    <t>Game 5</t>
  </si>
  <si>
    <t>TEAM EXTREMES (Women)</t>
  </si>
  <si>
    <t>VOTERS MASTER: Referees &amp; Team Officials</t>
  </si>
  <si>
    <t>Auto-builds the eligible voter list: referees pull from Referees Master, each team's Official A from Rosters Master. Nothing to type here.</t>
  </si>
  <si>
    <t>VoterID</t>
  </si>
  <si>
    <t>Voter Name</t>
  </si>
  <si>
    <t>Can Vote For</t>
  </si>
  <si>
    <t>--- REFEREES ---</t>
  </si>
  <si>
    <t>REF1</t>
  </si>
  <si>
    <t>Referee</t>
  </si>
  <si>
    <t>Both</t>
  </si>
  <si>
    <t>REF2</t>
  </si>
  <si>
    <t>REF3</t>
  </si>
  <si>
    <t>REF4</t>
  </si>
  <si>
    <t>REF5</t>
  </si>
  <si>
    <t>REF6</t>
  </si>
  <si>
    <t>REF7</t>
  </si>
  <si>
    <t>REF8</t>
  </si>
  <si>
    <t>--- TEAM OFFICIALS (Official A only: auto-fills from Rosters Master) ---</t>
  </si>
  <si>
    <t>M1-OA</t>
  </si>
  <si>
    <t>Official A (Voter)</t>
  </si>
  <si>
    <t>Men</t>
  </si>
  <si>
    <t>Both (excl. own team)</t>
  </si>
  <si>
    <t>Cannot vote for HAR</t>
  </si>
  <si>
    <t>M2-OA</t>
  </si>
  <si>
    <t>Cannot vote for MES</t>
  </si>
  <si>
    <t>M3-OA</t>
  </si>
  <si>
    <t>Cannot vote for RED</t>
  </si>
  <si>
    <t>M4-OA</t>
  </si>
  <si>
    <t>Cannot vote for PAC</t>
  </si>
  <si>
    <t>M5-OA</t>
  </si>
  <si>
    <t>Cannot vote for SUM</t>
  </si>
  <si>
    <t>M6-OA</t>
  </si>
  <si>
    <t>Cannot vote for LAK</t>
  </si>
  <si>
    <t>M7-OA</t>
  </si>
  <si>
    <t>Cannot vote for CAN</t>
  </si>
  <si>
    <t>M8-OA</t>
  </si>
  <si>
    <t>Cannot vote for NOR</t>
  </si>
  <si>
    <t>W1-OA</t>
  </si>
  <si>
    <t>Cannot vote for HARW</t>
  </si>
  <si>
    <t>W2-OA</t>
  </si>
  <si>
    <t>Cannot vote for REDW</t>
  </si>
  <si>
    <t>W3-OA</t>
  </si>
  <si>
    <t>Cannot vote for DES</t>
  </si>
  <si>
    <t>W4-OA</t>
  </si>
  <si>
    <t>Cannot vote for BAY</t>
  </si>
  <si>
    <t>W5-OA</t>
  </si>
  <si>
    <t>TBD</t>
  </si>
  <si>
    <t>Unused in the 8M+4W format (5th women's slot)</t>
  </si>
  <si>
    <t>Official Role</t>
  </si>
  <si>
    <t>WhatsApp Phone</t>
  </si>
  <si>
    <t>For WhatsApp Channel</t>
  </si>
  <si>
    <t>🏆 MVP &amp; MVG VOTING SYSTEM</t>
  </si>
  <si>
    <t>HELPER: Men Field Players</t>
  </si>
  <si>
    <t>HELPER: Women Field Players</t>
  </si>
  <si>
    <t>HELPER: Men Goalkeepers</t>
  </si>
  <si>
    <t>HELPER: Women Goalkeepers</t>
  </si>
  <si>
    <t>Point System: 1st Choice = 3 pts, 2nd Choice = 2 pts, 3rd Choice = 1 pt | Voters cannot vote for their own team</t>
  </si>
  <si>
    <t>Instructions: Select players from dropdown lists in columns C, D, E. Format: "Team #Jersey, Player Name". Results auto-calculate showing Top 15 ranked by Total Points (tiebreaker = # of 1st votes).</t>
  </si>
  <si>
    <t>🏅 MVP MEN (Field Players Only)</t>
  </si>
  <si>
    <t>📊 MVP MEN: TOP 15 RESULTS</t>
  </si>
  <si>
    <t>Voter Team</t>
  </si>
  <si>
    <t>1st Choice (3 pts)</t>
  </si>
  <si>
    <t>2nd Choice (2 pts)</t>
  </si>
  <si>
    <t>3rd Choice (1 pt)</t>
  </si>
  <si>
    <t>Valid?</t>
  </si>
  <si>
    <t>1st Votes</t>
  </si>
  <si>
    <t>2nd Votes</t>
  </si>
  <si>
    <t>3rd Votes</t>
  </si>
  <si>
    <t>Total Pts</t>
  </si>
  <si>
    <t>Referee Crew</t>
  </si>
  <si>
    <t>MES #80, Jonas Rios</t>
  </si>
  <si>
    <t>PAC #3, Luis Ahn</t>
  </si>
  <si>
    <t>RED #41, Hamza Hoffmann</t>
  </si>
  <si>
    <t>LAK #97, Nico Novak</t>
  </si>
  <si>
    <t>🏅 MVP WOMEN (Field Players Only)</t>
  </si>
  <si>
    <t>📊 MVP WOMEN: TOP 15 RESULTS</t>
  </si>
  <si>
    <t>HARW #86, Ines Okonkwo</t>
  </si>
  <si>
    <t>HARW #61, Valentina Mattila</t>
  </si>
  <si>
    <t>BAY #80, Edda Demir</t>
  </si>
  <si>
    <t>BAY #94, Yuki Almeida</t>
  </si>
  <si>
    <t>🧤 MVG MEN (Goalkeepers Only)</t>
  </si>
  <si>
    <t>📊 MVG MEN: TOP 15 RESULTS</t>
  </si>
  <si>
    <t>HAR #1, Jorge Hoffmann</t>
  </si>
  <si>
    <t>MES #12, Gideon Brandt</t>
  </si>
  <si>
    <t>LAK #12, Gideon Farouk</t>
  </si>
  <si>
    <t>RED #12, Marco Tanaka</t>
  </si>
  <si>
    <t>NOR #1, Enzo Mendes</t>
  </si>
  <si>
    <t>🧤 MVG WOMEN (Goalkeepers Only)</t>
  </si>
  <si>
    <t>📊 MVG WOMEN: TOP 15 RESULTS</t>
  </si>
  <si>
    <t>REDW #1, Helena Schmidt</t>
  </si>
  <si>
    <t>HARW #1, Lotte Halvorsen</t>
  </si>
  <si>
    <t>DES #12, Grace Coleman</t>
  </si>
  <si>
    <t>BAY #1, Carla Halvorsen</t>
  </si>
  <si>
    <t>REDW #12, Nora Dahl</t>
  </si>
  <si>
    <t>🏆 FINAL AWARD WINNERS</t>
  </si>
  <si>
    <t>Winner</t>
  </si>
  <si>
    <t>Total Points</t>
  </si>
  <si>
    <t>VOLUNTEER MASTER LIST</t>
  </si>
  <si>
    <t>One row per volunteer (blue = type). Total Hours calculates from the assignment columns on Games Schedule (timekeeper / scorekeeper / merch booth). Last year's stats kept below as static reference.</t>
  </si>
  <si>
    <t>VolunteerID</t>
  </si>
  <si>
    <t>Team/Division</t>
  </si>
  <si>
    <t>Total Hours</t>
  </si>
  <si>
    <t>V001</t>
  </si>
  <si>
    <t>Morales</t>
  </si>
  <si>
    <t>W</t>
  </si>
  <si>
    <t>edda.morales@example.org</t>
  </si>
  <si>
    <t>555-0179</t>
  </si>
  <si>
    <t>V002</t>
  </si>
  <si>
    <t>Cordova</t>
  </si>
  <si>
    <t>M</t>
  </si>
  <si>
    <t>V003</t>
  </si>
  <si>
    <t>Nestor</t>
  </si>
  <si>
    <t>Parent</t>
  </si>
  <si>
    <t>V004</t>
  </si>
  <si>
    <t>nadia.castillo@example.org</t>
  </si>
  <si>
    <t>V005</t>
  </si>
  <si>
    <t>555-0186</t>
  </si>
  <si>
    <t>V006</t>
  </si>
  <si>
    <t>V007</t>
  </si>
  <si>
    <t>Tobias</t>
  </si>
  <si>
    <t>tobias.calloway@example.org</t>
  </si>
  <si>
    <t>V008</t>
  </si>
  <si>
    <t>V009</t>
  </si>
  <si>
    <t>Board</t>
  </si>
  <si>
    <t>555-0193</t>
  </si>
  <si>
    <t>V010</t>
  </si>
  <si>
    <t>Falk</t>
  </si>
  <si>
    <t>bastian.falk@example.org</t>
  </si>
  <si>
    <t>V011</t>
  </si>
  <si>
    <t>V012</t>
  </si>
  <si>
    <t>V013</t>
  </si>
  <si>
    <t>ryan.wiklund@example.org</t>
  </si>
  <si>
    <t>555-0100</t>
  </si>
  <si>
    <t>V014</t>
  </si>
  <si>
    <t>Cole</t>
  </si>
  <si>
    <t>V015</t>
  </si>
  <si>
    <t>Amara</t>
  </si>
  <si>
    <t>Coach</t>
  </si>
  <si>
    <t>V016</t>
  </si>
  <si>
    <t>magnus.gonzaga@example.org</t>
  </si>
  <si>
    <t>V017</t>
  </si>
  <si>
    <t>V018</t>
  </si>
  <si>
    <t>V019</t>
  </si>
  <si>
    <t>bram.yilmaz@example.org</t>
  </si>
  <si>
    <t>V020</t>
  </si>
  <si>
    <t>V021</t>
  </si>
  <si>
    <t>Jensen</t>
  </si>
  <si>
    <t>V022</t>
  </si>
  <si>
    <t>priya.rios@example.org</t>
  </si>
  <si>
    <t>V023</t>
  </si>
  <si>
    <t>V024</t>
  </si>
  <si>
    <t>V025</t>
  </si>
  <si>
    <t>yara.fontaine@example.org</t>
  </si>
  <si>
    <t>V026</t>
  </si>
  <si>
    <t>V027</t>
  </si>
  <si>
    <t>V028</t>
  </si>
  <si>
    <t>selin.nakamura@example.org</t>
  </si>
  <si>
    <t>V029</t>
  </si>
  <si>
    <t>V030</t>
  </si>
  <si>
    <t>V031</t>
  </si>
  <si>
    <t>Chen</t>
  </si>
  <si>
    <t>kevin.chen@example.org</t>
  </si>
  <si>
    <t>V032</t>
  </si>
  <si>
    <t>V033</t>
  </si>
  <si>
    <t>V034</t>
  </si>
  <si>
    <t>kai.varga@example.org</t>
  </si>
  <si>
    <t>V035</t>
  </si>
  <si>
    <t>Saskia</t>
  </si>
  <si>
    <t>Costa</t>
  </si>
  <si>
    <t>V036</t>
  </si>
  <si>
    <t>Ueda</t>
  </si>
  <si>
    <t>V037</t>
  </si>
  <si>
    <t>nina.becker@example.org</t>
  </si>
  <si>
    <t>V038</t>
  </si>
  <si>
    <t>Bruno</t>
  </si>
  <si>
    <t>V039</t>
  </si>
  <si>
    <t>Obi</t>
  </si>
  <si>
    <t>V040</t>
  </si>
  <si>
    <t>bram.zapata@example.org</t>
  </si>
  <si>
    <t>V041</t>
  </si>
  <si>
    <t>V042</t>
  </si>
  <si>
    <t>Rosa</t>
  </si>
  <si>
    <t>V059</t>
  </si>
  <si>
    <t>Victor</t>
  </si>
  <si>
    <t>victor.schmidt@example.org</t>
  </si>
  <si>
    <t>V060</t>
  </si>
  <si>
    <t>V061</t>
  </si>
  <si>
    <t>Referee</t>
  </si>
  <si>
    <t>V062</t>
  </si>
  <si>
    <t>Emeka</t>
  </si>
  <si>
    <t>V063</t>
  </si>
  <si>
    <t>Lotte Salonen</t>
  </si>
  <si>
    <t>V064</t>
  </si>
  <si>
    <t>Lotte Pajari</t>
  </si>
  <si>
    <t>V065</t>
  </si>
  <si>
    <t>Wren Mwangi</t>
  </si>
  <si>
    <t>wren.mwangi@example.org</t>
  </si>
  <si>
    <t>V066</t>
  </si>
  <si>
    <t>Aguilar</t>
  </si>
  <si>
    <t>Lotte Aguilar</t>
  </si>
  <si>
    <t>V067</t>
  </si>
  <si>
    <t>Freya</t>
  </si>
  <si>
    <t>Freya Moreau</t>
  </si>
  <si>
    <t>2026 VOLUNTEER STATS (static reference from last year's file, example figures)</t>
  </si>
  <si>
    <t>Gender</t>
  </si>
  <si>
    <t>Participants</t>
  </si>
  <si>
    <t>Hours</t>
  </si>
  <si>
    <t>Avg H/Part</t>
  </si>
  <si>
    <t>Hours Volunteered</t>
  </si>
  <si>
    <t>Weighted Avg Hrs/Part.</t>
  </si>
  <si>
    <t>% at 0 hrs</t>
  </si>
  <si>
    <t>Sign-up for gym setup before the first game: type names below; the coordinator marks Presence Verified on the day.</t>
  </si>
  <si>
    <t>2.45 to 3.45 pm</t>
  </si>
  <si>
    <t>Presence Verified</t>
  </si>
  <si>
    <t>Airport runs for visiting referees: all blue cells are typed per trip (dates, times, names, phones, driver). Example rows below; replace them with your confirmed travel.</t>
  </si>
  <si>
    <t>NEED A CAR TO VOLUNTEER FOR THIS TASK</t>
  </si>
  <si>
    <t>Pick up/drop off Date</t>
  </si>
  <si>
    <t>Pick up/drop off Time</t>
  </si>
  <si>
    <t>Referee Name</t>
  </si>
  <si>
    <t>Referee Phone Number</t>
  </si>
  <si>
    <t>Driver</t>
  </si>
  <si>
    <t>6:30 pm</t>
  </si>
  <si>
    <t>9:15 pm</t>
  </si>
  <si>
    <t>5:00 pm</t>
  </si>
  <si>
    <t>First Last</t>
  </si>
  <si>
    <t>📊 BAY CLASSIC TOURNAMENT BUDGET DASHBOARD</t>
  </si>
  <si>
    <t>All figures roll up automatically. Type only blue cells: the 2027 Budget/Actuals columns and the drivers box (M9:N22). Detailed actuals live on Multi Year Financial Summary; 2027 registration income is live from Registration 2027.</t>
  </si>
  <si>
    <t>KEY PERFORMANCE INDICATORS: 2027</t>
  </si>
  <si>
    <t>Profit Margin</t>
  </si>
  <si>
    <t>◀ 2027 Budget</t>
  </si>
  <si>
    <t>◀ 2027 Actuals to date</t>
  </si>
  <si>
    <t>MULTI-YEAR COMPARISON</t>
  </si>
  <si>
    <t>2024</t>
  </si>
  <si>
    <t>2025</t>
  </si>
  <si>
    <t>2026 Budget</t>
  </si>
  <si>
    <t>2026 Actuals</t>
  </si>
  <si>
    <t>Var vs Budget</t>
  </si>
  <si>
    <t>Var vs Prior Year</t>
  </si>
  <si>
    <t>2027 Budget</t>
  </si>
  <si>
    <t>2027 Actuals</t>
  </si>
  <si>
    <t>Var vs Budget '27</t>
  </si>
  <si>
    <t>Var vs PY '27</t>
  </si>
  <si>
    <t>REGISTRATION DRIVERS</t>
  </si>
  <si>
    <t>3-FORMAT BUDGET COMPARISON (full capacity)</t>
  </si>
  <si>
    <t>INCOME</t>
  </si>
  <si>
    <t>Registration Fee</t>
  </si>
  <si>
    <t>Per-Team Registration Fee:</t>
  </si>
  <si>
    <t>Concessions</t>
  </si>
  <si>
    <t>Deposit % of Fee:</t>
  </si>
  <si>
    <t>Games</t>
  </si>
  <si>
    <t>Merchandising</t>
  </si>
  <si>
    <t>Paying Teams (capacity − hosts):</t>
  </si>
  <si>
    <t>Paying teams</t>
  </si>
  <si>
    <t>Sponsors / Donations / Other fundraising</t>
  </si>
  <si>
    <t>Deposit per Team:</t>
  </si>
  <si>
    <t>Registration income</t>
  </si>
  <si>
    <t>Final Payment per Team:</t>
  </si>
  <si>
    <t>Other income (conc/merch/spons/other)</t>
  </si>
  <si>
    <t>Host Teams (non-paying):</t>
  </si>
  <si>
    <t>Total income</t>
  </si>
  <si>
    <t>EXPENSES</t>
  </si>
  <si>
    <t>Referee Costs</t>
  </si>
  <si>
    <t>EXPENSE DRIVERS</t>
  </si>
  <si>
    <t>📝 INPUTS</t>
  </si>
  <si>
    <t>Venue/Gym</t>
  </si>
  <si>
    <t>Referee cost per game:</t>
  </si>
  <si>
    <t>Other expenses</t>
  </si>
  <si>
    <t>Equipment (Balls)</t>
  </si>
  <si>
    <t>Venue base (full schedule):</t>
  </si>
  <si>
    <t>Total expenses</t>
  </si>
  <si>
    <t>Short-format venue discount:</t>
  </si>
  <si>
    <t>NET PROFIT</t>
  </si>
  <si>
    <t>Concession Supplies</t>
  </si>
  <si>
    <t>Short-format threshold (games ≤):</t>
  </si>
  <si>
    <t>Trophies/Awards</t>
  </si>
  <si>
    <t>Other/Misc</t>
  </si>
  <si>
    <t>MERCH PRE-ORDER TRACKER</t>
  </si>
  <si>
    <t>Qty Paid</t>
  </si>
  <si>
    <t>Qty Pending</t>
  </si>
  <si>
    <t>Rev Paid</t>
  </si>
  <si>
    <t>Rev Pipeline</t>
  </si>
  <si>
    <t>Commemorative hoodie ($75)</t>
  </si>
  <si>
    <t>Commemorative hat ($35)</t>
  </si>
  <si>
    <t>Hoodie + hat bundle ($99)</t>
  </si>
  <si>
    <t>Target</t>
  </si>
  <si>
    <t>% to target (Paid)</t>
  </si>
  <si>
    <t>🎽 MERCH PRE-ORDER (COMMEMORATIVE GEAR)</t>
  </si>
  <si>
    <t>→ See Merch Pre-Order (COGS) sheet for details</t>
  </si>
  <si>
    <t>Line</t>
  </si>
  <si>
    <t>2027 Forecast</t>
  </si>
  <si>
    <t>2027 Actual to date</t>
  </si>
  <si>
    <t>Merch revenue (commemorative gear)</t>
  </si>
  <si>
    <t>Merch COGS (hoodie + hat + prize gear + setup)</t>
  </si>
  <si>
    <t>Merch net contribution</t>
  </si>
  <si>
    <t>Net profit incl merch (replaces H13/I13 lump with revenue − COGS)</t>
  </si>
  <si>
    <t>Income</t>
  </si>
  <si>
    <t>Detail</t>
  </si>
  <si>
    <t>Tournament Merchandising</t>
  </si>
  <si>
    <t>Grant / Sponsors / Donors</t>
  </si>
  <si>
    <t>Targeted donations</t>
  </si>
  <si>
    <t>Prior Year Profit Re-use</t>
  </si>
  <si>
    <t>Income Total</t>
  </si>
  <si>
    <t>Expenses</t>
  </si>
  <si>
    <t>Federation Event Registration</t>
  </si>
  <si>
    <t>Payment Processing Fees</t>
  </si>
  <si>
    <t>Gym</t>
  </si>
  <si>
    <t>Gym Insurance</t>
  </si>
  <si>
    <t>Total Gym and related</t>
  </si>
  <si>
    <t>Main medical staff (physio / athletic trainer)</t>
  </si>
  <si>
    <t>Medical staff 2 (Friday evening)</t>
  </si>
  <si>
    <t>Medical staff 3 (Saturday morning)</t>
  </si>
  <si>
    <t>Medical staff 4 (Saturday afternoon)</t>
  </si>
  <si>
    <t>Medical staff 5 (Sunday)</t>
  </si>
  <si>
    <t>Medical supply</t>
  </si>
  <si>
    <t>Total Medical</t>
  </si>
  <si>
    <t>Trophies</t>
  </si>
  <si>
    <t>Ask the trophy supplier for a bill of materials</t>
  </si>
  <si>
    <t>Special anniversary award</t>
  </si>
  <si>
    <t>NA</t>
  </si>
  <si>
    <t>Medals</t>
  </si>
  <si>
    <t>Medals plus stickers; double both quantities for next year</t>
  </si>
  <si>
    <t>Cup Engraving</t>
  </si>
  <si>
    <t>Engraving of the men's and women's trophy</t>
  </si>
  <si>
    <t>Total Trophies/Medals</t>
  </si>
  <si>
    <t>Merchandising (Jerseys, etc)</t>
  </si>
  <si>
    <t>T shirts with no year printed can be used at any future edition. Count only the cost of goods sold and keep the rest as inventory</t>
  </si>
  <si>
    <t>Misc (badges, etc.)</t>
  </si>
  <si>
    <t>Cleaning equipment can be borrowed from a club member</t>
  </si>
  <si>
    <t>Handballs (training)</t>
  </si>
  <si>
    <t>Handballs (match)</t>
  </si>
  <si>
    <t>Grip-friendly balls if no glue is allowed</t>
  </si>
  <si>
    <t>Social media support</t>
  </si>
  <si>
    <t>Travel and two hotel nights for the social media helper</t>
  </si>
  <si>
    <t>Sticky Mats</t>
  </si>
  <si>
    <t>Floor mats for both team benches</t>
  </si>
  <si>
    <t>Photographer</t>
  </si>
  <si>
    <t>Live Streaming</t>
  </si>
  <si>
    <t>Van rental (equipment transport)</t>
  </si>
  <si>
    <t>Daily rate plus mileage and insurance for equipment transport</t>
  </si>
  <si>
    <t>Total Others</t>
  </si>
  <si>
    <t>Came in under budget thanks to a local pair with no travel cost. Flight prices varied widely; international referees remain the largest variable cost.</t>
  </si>
  <si>
    <t>Expense Total</t>
  </si>
  <si>
    <t>Net Proft/(Loss)</t>
  </si>
  <si>
    <t>Adjustments for 2027</t>
  </si>
  <si>
    <t>T shirts</t>
  </si>
  <si>
    <t>Shirts on hand from 2026 can be sold in 2027 at zero cost and a solid margin</t>
  </si>
  <si>
    <t>Social</t>
  </si>
  <si>
    <t>Optional; review the results before budgeting again</t>
  </si>
  <si>
    <t>Reusable if cleaned regularly (degreaser plus a dry microfiber cloth)</t>
  </si>
  <si>
    <t>Registration fees</t>
  </si>
  <si>
    <t>10 teams * $50 extra per team</t>
  </si>
  <si>
    <t>5th pair of referees + cost adjustments no int'l Ref</t>
  </si>
  <si>
    <t>Difference between 2026 actual costs for 4 pairs and projected costs of 5 pairs in 2027</t>
  </si>
  <si>
    <t>Assumes donated trophies may not be available, so the full purchase cost is budgeted</t>
  </si>
  <si>
    <t>TBD</t>
  </si>
  <si>
    <t>Medical staff contacts (AT/PT):</t>
  </si>
  <si>
    <t>Medical contact 1: [Add name / email]</t>
  </si>
  <si>
    <t>Medical contact 2: [Add name / email]</t>
  </si>
  <si>
    <t>Medical contact 3: [Add name / email]</t>
  </si>
  <si>
    <t>Medical contact 4: [Add name]</t>
  </si>
  <si>
    <t>[Add email]</t>
  </si>
  <si>
    <t>Medical contact 5: [Add name]</t>
  </si>
  <si>
    <t>Medical contact 6: [Add name]</t>
  </si>
  <si>
    <t>Promotional:</t>
  </si>
  <si>
    <t>Prices:</t>
  </si>
  <si>
    <t>Pins</t>
  </si>
  <si>
    <t>Hat</t>
  </si>
  <si>
    <t>Sticker</t>
  </si>
  <si>
    <t>Pennant</t>
  </si>
  <si>
    <t>Signed jersey</t>
  </si>
  <si>
    <t>Tournament jersey</t>
  </si>
  <si>
    <t>Replica jersey</t>
  </si>
  <si>
    <t>Costs / set</t>
  </si>
  <si>
    <t>Sports drink</t>
  </si>
  <si>
    <t>Water</t>
  </si>
  <si>
    <t>Trails Mix</t>
  </si>
  <si>
    <t>Snacks Nuts</t>
  </si>
  <si>
    <t>Crepe (wholesale club)</t>
  </si>
  <si>
    <t>Madeleines</t>
  </si>
  <si>
    <t>Brownie Bite</t>
  </si>
  <si>
    <t>Chocolate snack pack</t>
  </si>
  <si>
    <t>Mandarine</t>
  </si>
  <si>
    <t>$1 for 2</t>
  </si>
  <si>
    <t>Croissants</t>
  </si>
  <si>
    <t>Sandwiches</t>
  </si>
  <si>
    <t>Coffee</t>
  </si>
  <si>
    <t>💰 OPERATIONS COSTS: Budget vs Actuals</t>
  </si>
  <si>
    <t>Projections compute from the orange driver cells + Referees Master, Medical Staff Master and the Format Engine; Actuals flow live from those master tabs. Type only orange/blue cells.</t>
  </si>
  <si>
    <t>📋 REFEREE COSTS</t>
  </si>
  <si>
    <t>REFEREE TRAVEL &amp; LOGISTICS: PROJECTION (tied to Referees Master)</t>
  </si>
  <si>
    <t>INT'L PAIR DRIVERS</t>
  </si>
  <si>
    <t>REFEREE COVERAGE CHECK</t>
  </si>
  <si>
    <t>Tournament days</t>
  </si>
  <si>
    <t>Unit Count</t>
  </si>
  <si>
    <t>Int'l Total</t>
  </si>
  <si>
    <t>Max games / pair / day:</t>
  </si>
  <si>
    <t>Hotel nights (= days − 1)</t>
  </si>
  <si>
    <t>Busiest day (games):</t>
  </si>
  <si>
    <t>Hotel $/night (per room: pair shares)</t>
  </si>
  <si>
    <t>Pairs needed:</t>
  </si>
  <si>
    <t>Per diem $/ref/day</t>
  </si>
  <si>
    <t>Ground transfer to/from home airport $/ref RT</t>
  </si>
  <si>
    <t>Pairs available (named):</t>
  </si>
  <si>
    <t>Domestic flight $/ref</t>
  </si>
  <si>
    <t>Train to airport $/ref RT (contingency)</t>
  </si>
  <si>
    <t>Status:</t>
  </si>
  <si>
    <t>Int'l flight $/ref</t>
  </si>
  <si>
    <t>Busiest day = most games on any single day for the active format.</t>
  </si>
  <si>
    <t>Airport transfer (uber, round trip) $/ref</t>
  </si>
  <si>
    <t>Schedule spans (days):</t>
  </si>
  <si>
    <t>Car rental (Fri to Sun) $/pair</t>
  </si>
  <si>
    <t>Pair type</t>
  </si>
  <si>
    <t>Pairs</t>
  </si>
  <si>
    <t>$ / pair</t>
  </si>
  <si>
    <t>Subtotal</t>
  </si>
  <si>
    <t>International</t>
  </si>
  <si>
    <t>Domestic</t>
  </si>
  <si>
    <t>Local (per diem only)</t>
  </si>
  <si>
    <t>TOTAL PROJECTED</t>
  </si>
  <si>
    <t>REFEREE BUDGET vs ACTUAL (by cost category: actuals live from Referees Master)</t>
  </si>
  <si>
    <t>Budget</t>
  </si>
  <si>
    <t>Actual</t>
  </si>
  <si>
    <t>Variance</t>
  </si>
  <si>
    <t>Flights</t>
  </si>
  <si>
    <t>Hotel</t>
  </si>
  <si>
    <t>Per diem</t>
  </si>
  <si>
    <t>TOTAL REFEREE</t>
  </si>
  <si>
    <t>📋 EQUIPMENT (BALLS)</t>
  </si>
  <si>
    <t>PROJECTIONS</t>
  </si>
  <si>
    <t>ACTUALS</t>
  </si>
  <si>
    <t>Unit Price</t>
  </si>
  <si>
    <t>Qty</t>
  </si>
  <si>
    <t>Match ball, size 3</t>
  </si>
  <si>
    <t>Match ball, size 2</t>
  </si>
  <si>
    <t>Shipping</t>
  </si>
  <si>
    <t>TOTAL BUDGET</t>
  </si>
  <si>
    <t>TOTAL ACTUAL</t>
  </si>
  <si>
    <t>VARIANCE (Budget minus Actual)</t>
  </si>
  <si>
    <t>📋 MEDICAL STAFF (PHYSIO / ATHLETIC TRAINER)</t>
  </si>
  <si>
    <t>Medical staff hours per game:</t>
  </si>
  <si>
    <t>Day</t>
  </si>
  <si>
    <t>Rate</t>
  </si>
  <si>
    <t>OPERATIONS COSTS: BUDGET vs ACTUAL SUMMARY</t>
  </si>
  <si>
    <t>Var %</t>
  </si>
  <si>
    <t>Referee travel &amp; logistics</t>
  </si>
  <si>
    <t>Medical staff</t>
  </si>
  <si>
    <t>TOTAL OPERATIONS</t>
  </si>
  <si>
    <t>📊 CONCESSION PROJECTION DETAILS</t>
  </si>
  <si>
    <t>Type day-by-day Units Sold (blue). COGS &amp; prices here drive the projection: keep them in sync with Products Master (consolidation to a single source is pending, see Model Notes).</t>
  </si>
  <si>
    <t>DATA</t>
  </si>
  <si>
    <t>TOTAL</t>
  </si>
  <si>
    <t>Item description</t>
  </si>
  <si>
    <t>Size</t>
  </si>
  <si>
    <t>Units Sold</t>
  </si>
  <si>
    <t>Sales</t>
  </si>
  <si>
    <t>Profit</t>
  </si>
  <si>
    <t>Sales Actuals</t>
  </si>
  <si>
    <t>Gear</t>
  </si>
  <si>
    <t>S</t>
  </si>
  <si>
    <t>L</t>
  </si>
  <si>
    <t>XL</t>
  </si>
  <si>
    <t>WS</t>
  </si>
  <si>
    <t>WL</t>
  </si>
  <si>
    <t>WXL</t>
  </si>
  <si>
    <t>3XL</t>
  </si>
  <si>
    <t>2XL</t>
  </si>
  <si>
    <t xml:space="preserve"> </t>
  </si>
  <si>
    <t>Inventory Actuals</t>
  </si>
  <si>
    <t>🎽 MERCH PRE-ORDER (COGS): Commemorative gear</t>
  </si>
  <si>
    <t>Blue = planning inputs &amp; supplier quotes. Actuals pull live from the Pre-orders tab (TEST rows excluded); net contribution flows to the Budget Dashboard merch lines.</t>
  </si>
  <si>
    <t>📋 UNIT ECONOMICS</t>
  </si>
  <si>
    <t>Blank ($)</t>
  </si>
  <si>
    <t>Flat embroidery ($)</t>
  </si>
  <si>
    <t>Inbound freight ($)</t>
  </si>
  <si>
    <t>Delivery ($)</t>
  </si>
  <si>
    <t>Variable COGS</t>
  </si>
  <si>
    <t>Retail</t>
  </si>
  <si>
    <t>GM $/unit</t>
  </si>
  <si>
    <t>GM %</t>
  </si>
  <si>
    <t>Hoodie</t>
  </si>
  <si>
    <t>Bundle (Hoodie + Hat)</t>
  </si>
  <si>
    <t>n/a</t>
  </si>
  <si>
    <t>🛠 ONE-TIME SETUP</t>
  </si>
  <si>
    <t>Digitizing per design ($)</t>
  </si>
  <si>
    <t>Number of designs</t>
  </si>
  <si>
    <t>Proofs / samples ($)</t>
  </si>
  <si>
    <t>Total setup cost</t>
  </si>
  <si>
    <t>📥 ACTUAL TO DATE (live from Pre-orders tab)</t>
  </si>
  <si>
    <t>SKU</t>
  </si>
  <si>
    <t>Units</t>
  </si>
  <si>
    <t>Revenue</t>
  </si>
  <si>
    <t>Hoodies (standalone)</t>
  </si>
  <si>
    <t>Hats (standalone)</t>
  </si>
  <si>
    <t>Bundles</t>
  </si>
  <si>
    <t>Hoodies produced (standalone + bundle)</t>
  </si>
  <si>
    <t>Hats produced (standalone + bundle + prize)</t>
  </si>
  <si>
    <t>🔮 FORECAST (editable planning quantities)</t>
  </si>
  <si>
    <t>Planned Qty</t>
  </si>
  <si>
    <t>Forecast Revenue</t>
  </si>
  <si>
    <t>Prize hats (memo, no revenue)</t>
  </si>
  <si>
    <t>Total (forecast)</t>
  </si>
  <si>
    <t>Hoodies produced (forecast)</t>
  </si>
  <si>
    <t>Hats produced (forecast, incl prize)</t>
  </si>
  <si>
    <t>📊 P&amp;L: Forecast vs Actual to date</t>
  </si>
  <si>
    <t>Forecast</t>
  </si>
  <si>
    <t>Actual to date</t>
  </si>
  <si>
    <t>Hoodie COGS</t>
  </si>
  <si>
    <t>Hat COGS (incl bundle + prize hats)</t>
  </si>
  <si>
    <t>One-time setup</t>
  </si>
  <si>
    <t>Net contribution</t>
  </si>
  <si>
    <t>Blended gross margin %</t>
  </si>
  <si>
    <t>Prize-hat cost (memo, already inside Hat COGS)</t>
  </si>
  <si>
    <t>📝 NOTES</t>
  </si>
  <si>
    <t>• Pre-order window closes Dec 6, 2026. Gear in hand by Jan 25, 2027.</t>
  </si>
  <si>
    <t>• Prize hats = MVP / MVG / Top Scorer × Men &amp; Women = 6 hats. Carry COGS but no revenue.</t>
  </si>
  <si>
    <t>• Bundle = 1 hoodie + 1 hat (consumes one of each unit of COGS).</t>
  </si>
  <si>
    <t>• Actual-to-date pulls live from Pre-orders table via SUMIFS. Test rows (Payment="TEST, ignore" or Notes containing "TEST") are excluded.</t>
  </si>
  <si>
    <t>• Blue cells = editable inputs. Change and everything downstream (P&amp;L + Budget Dashboard) recalculates.</t>
  </si>
  <si>
    <t>• Hoodie blank: full custom cut-and-sew from the apparel supplier, all-in delivered price (example quote): 50u $72 / 75u $67 / 100u $64.50 / 150u $61.50, including blank, decoration, duty and freight. Price may vary with fabric and shipping.</t>
  </si>
  <si>
    <t>🧵 APPAREL SUPPLIER QUOTE (example, all-in delivered)</t>
  </si>
  <si>
    <t>Qty tier</t>
  </si>
  <si>
    <t>Delivered $/unit</t>
  </si>
  <si>
    <t>GM $ @ $75</t>
  </si>
  <si>
    <t>Retail for 40% GM</t>
  </si>
  <si>
    <t>Target GM %</t>
  </si>
  <si>
    <t>SHOPPING LIST: type prices &amp; links as you find them (blue). '# required' calculates from the sales projection below (rows 31-38); unit costs feed Concession Projection Details.</t>
  </si>
  <si>
    <t>Equipment</t>
  </si>
  <si>
    <t>Link</t>
  </si>
  <si>
    <t>Price</t>
  </si>
  <si>
    <t>Unit count</t>
  </si>
  <si>
    <t># required</t>
  </si>
  <si>
    <t>Source</t>
  </si>
  <si>
    <t>Unit cost</t>
  </si>
  <si>
    <t>Needed</t>
  </si>
  <si>
    <t>Pod coffee machine</t>
  </si>
  <si>
    <t>Can someone loan one for the tournament?</t>
  </si>
  <si>
    <t>Online retailer</t>
  </si>
  <si>
    <t>Acrylic displays for bundles</t>
  </si>
  <si>
    <t>To buy online, see photos for examples</t>
  </si>
  <si>
    <t>8-outlet power strip with surge protection, 6 ft cord</t>
  </si>
  <si>
    <t>Duct tape, 3 pack, heavy duty</t>
  </si>
  <si>
    <t>Clear packing tape</t>
  </si>
  <si>
    <t>Organizer can provide</t>
  </si>
  <si>
    <t>Paper towels</t>
  </si>
  <si>
    <t>Do we have some stock?</t>
  </si>
  <si>
    <t>Cardstock paper for prepaid cards</t>
  </si>
  <si>
    <t>Clear sheet protectors, 100 pack</t>
  </si>
  <si>
    <t>Aluminum foil sheets, 200 pack</t>
  </si>
  <si>
    <t>Stamp and ink for prepaid cards</t>
  </si>
  <si>
    <t>TOTAL Equipment</t>
  </si>
  <si>
    <t>Products</t>
  </si>
  <si>
    <t>Coffee pods, medium roast, 96 count</t>
  </si>
  <si>
    <t>Pods have a long shelf life</t>
  </si>
  <si>
    <t>Yes</t>
  </si>
  <si>
    <t>Hot chocolate pods, 60 count</t>
  </si>
  <si>
    <t>Tea pods, 24 count</t>
  </si>
  <si>
    <t>Sports drink variety pack, 12 oz, 18 count</t>
  </si>
  <si>
    <t>https://example.org/supplier/sports-drink</t>
  </si>
  <si>
    <t>Energy bar variety pack, 26 count</t>
  </si>
  <si>
    <t>Wholesale club</t>
  </si>
  <si>
    <t>Local supplier</t>
  </si>
  <si>
    <t>White sandwich bread, 24 oz loaf</t>
  </si>
  <si>
    <t>Cheddar cheese slices, 10 slices</t>
  </si>
  <si>
    <t>Sliced ham, 16 oz</t>
  </si>
  <si>
    <t>Dijon mustard, 10 oz squeeze bottle</t>
  </si>
  <si>
    <t>Madeleines, 28 count</t>
  </si>
  <si>
    <t>Total Product Costs</t>
  </si>
  <si>
    <t>Units needed</t>
  </si>
  <si>
    <t>Cost to purchase</t>
  </si>
  <si>
    <t>Sports drink</t>
  </si>
  <si>
    <t>Bananas</t>
  </si>
  <si>
    <t>Coffee pods</t>
  </si>
  <si>
    <t>Chocolate pods</t>
  </si>
  <si>
    <t>Tea pods</t>
  </si>
  <si>
    <t>Energy bars</t>
  </si>
  <si>
    <t>Sandwiches: Bread</t>
  </si>
  <si>
    <t>Sandwiches: Cheese</t>
  </si>
  <si>
    <t>Sandwiches: Mustard</t>
  </si>
  <si>
    <t>Sandwiches: Ham</t>
  </si>
  <si>
    <t>TOTAL Products</t>
  </si>
  <si>
    <t>Ordered</t>
  </si>
  <si>
    <t>Transportation</t>
  </si>
  <si>
    <t>Board approved</t>
  </si>
  <si>
    <t>FOOD</t>
  </si>
  <si>
    <t>MERCHANDISING</t>
  </si>
  <si>
    <t>Payment status</t>
  </si>
  <si>
    <t>Enter pre-orders here manually: one row per order, typed in the table at left. Items must contain "Commemorative hoodie", "Commemorative hat" or "bundle" so the Merch Pre-Order (COGS) tab can count them.</t>
  </si>
  <si>
    <t>2026-11-02 18:41</t>
  </si>
  <si>
    <t>Levi Oyelaran</t>
  </si>
  <si>
    <t>levi.oyelaran@example.org</t>
  </si>
  <si>
    <t>Paid</t>
  </si>
  <si>
    <t>2026-11-03 09:12</t>
  </si>
  <si>
    <t>Nadia Kaur</t>
  </si>
  <si>
    <t>nadia.kaur@example.org</t>
  </si>
  <si>
    <t>L</t>
  </si>
  <si>
    <t>Pick up at check-in desk</t>
  </si>
  <si>
    <t>2026-11-05 20:05</t>
  </si>
  <si>
    <t>Felipe Sauer</t>
  </si>
  <si>
    <t>felipe.sauer@example.org</t>
  </si>
  <si>
    <t>One size</t>
  </si>
  <si>
    <t>Pending</t>
  </si>
  <si>
    <t>2026-11-08 14:30</t>
  </si>
  <si>
    <t>Jade Fontaine</t>
  </si>
  <si>
    <t>jade.fontaine@example.org</t>
  </si>
  <si>
    <t>S</t>
  </si>
  <si>
    <t>2026-11-10 11:58</t>
  </si>
  <si>
    <t>Sofia Novak</t>
  </si>
  <si>
    <t>sofia.novak@example.org</t>
  </si>
  <si>
    <t>Team order, Bayview</t>
  </si>
  <si>
    <t>2026-11-12 16:22</t>
  </si>
  <si>
    <t>Caleb Eze</t>
  </si>
  <si>
    <t>caleb.eze@example.org</t>
  </si>
  <si>
    <t>XL</t>
  </si>
  <si>
    <t xml:space="preserve">
Match Report
</t>
  </si>
  <si>
    <t>HELPER DATA (DO NOT MODIFY)</t>
  </si>
  <si>
    <t>Game #:</t>
  </si>
  <si>
    <r>
      <rPr>
        <sz val="11"/>
        <color theme="1"/>
        <rFont val="Calibri"/>
        <family val="2"/>
        <scheme val="minor"/>
      </rPr>
      <t>Half-time (30’)</t>
    </r>
  </si>
  <si>
    <t xml:space="preserve">A
</t>
  </si>
  <si>
    <t xml:space="preserve">B
</t>
  </si>
  <si>
    <r>
      <rPr>
        <sz val="11"/>
        <color theme="1"/>
        <rFont val="Calibri"/>
        <family val="2"/>
        <scheme val="minor"/>
      </rPr>
      <t>End of playing time</t>
    </r>
  </si>
  <si>
    <r>
      <rPr>
        <sz val="11"/>
        <color theme="1"/>
        <rFont val="Calibri"/>
        <family val="2"/>
        <scheme val="minor"/>
      </rPr>
      <t>1st overtime</t>
    </r>
  </si>
  <si>
    <r>
      <rPr>
        <sz val="11"/>
        <color theme="1"/>
        <rFont val="Calibri"/>
        <family val="2"/>
        <scheme val="minor"/>
      </rPr>
      <t>2nd overtime</t>
    </r>
  </si>
  <si>
    <r>
      <rPr>
        <sz val="11"/>
        <color theme="1"/>
        <rFont val="Calibri"/>
        <family val="2"/>
        <scheme val="minor"/>
      </rPr>
      <t>After penalty throws</t>
    </r>
  </si>
  <si>
    <t>Number of 7m</t>
  </si>
  <si>
    <r>
      <rPr>
        <sz val="11"/>
        <color theme="1"/>
        <rFont val="Calibri"/>
        <family val="2"/>
        <scheme val="minor"/>
      </rPr>
      <t>Team time-out</t>
    </r>
  </si>
  <si>
    <r>
      <rPr>
        <sz val="11"/>
        <color theme="1"/>
        <rFont val="Calibri"/>
        <family val="2"/>
        <scheme val="minor"/>
      </rPr>
      <t>Full name of players and officials</t>
    </r>
  </si>
  <si>
    <t xml:space="preserve">1
</t>
  </si>
  <si>
    <t xml:space="preserve">3
</t>
  </si>
  <si>
    <t>Team A Roster</t>
  </si>
  <si>
    <t>First</t>
  </si>
  <si>
    <t>Last</t>
  </si>
  <si>
    <t>Team B Roster</t>
  </si>
  <si>
    <t>No.</t>
  </si>
  <si>
    <r>
      <rPr>
        <sz val="11"/>
        <color theme="3"/>
        <rFont val="Calibri"/>
        <family val="2"/>
        <scheme val="minor"/>
      </rPr>
      <t>Team A</t>
    </r>
  </si>
  <si>
    <r>
      <rPr>
        <sz val="11"/>
        <color theme="3"/>
        <rFont val="Calibri"/>
        <family val="2"/>
        <scheme val="minor"/>
      </rPr>
      <t>G</t>
    </r>
  </si>
  <si>
    <r>
      <rPr>
        <sz val="11"/>
        <color theme="3"/>
        <rFont val="Calibri"/>
        <family val="2"/>
        <scheme val="minor"/>
      </rPr>
      <t>YC</t>
    </r>
  </si>
  <si>
    <r>
      <rPr>
        <sz val="11"/>
        <color theme="3"/>
        <rFont val="Calibri"/>
        <family val="2"/>
        <scheme val="minor"/>
      </rPr>
      <t>2'</t>
    </r>
  </si>
  <si>
    <r>
      <rPr>
        <sz val="11"/>
        <color theme="3"/>
        <rFont val="Calibri"/>
        <family val="2"/>
        <scheme val="minor"/>
      </rPr>
      <t>RC</t>
    </r>
  </si>
  <si>
    <r>
      <rPr>
        <sz val="11"/>
        <color theme="3"/>
        <rFont val="Calibri"/>
        <family val="2"/>
        <scheme val="minor"/>
      </rPr>
      <t>BC</t>
    </r>
  </si>
  <si>
    <r>
      <rPr>
        <sz val="11"/>
        <color theme="3"/>
        <rFont val="Calibri"/>
        <family val="1"/>
        <scheme val="minor"/>
      </rPr>
      <t>Team B</t>
    </r>
  </si>
  <si>
    <t>Jersey A</t>
  </si>
  <si>
    <t>Jersey B</t>
  </si>
  <si>
    <t>Start Date</t>
  </si>
  <si>
    <t>End Date</t>
  </si>
  <si>
    <t>Date Range Text</t>
  </si>
  <si>
    <t>Banner Text</t>
  </si>
  <si>
    <t>Game Date</t>
  </si>
  <si>
    <t>Game Court Time</t>
  </si>
  <si>
    <t>Team A Officials</t>
  </si>
  <si>
    <t>Team B Officials</t>
  </si>
  <si>
    <t>Off.A</t>
  </si>
  <si>
    <t>Off.B</t>
  </si>
  <si>
    <t>Off.C</t>
  </si>
  <si>
    <t>Off.D</t>
  </si>
  <si>
    <r>
      <rPr>
        <b/>
        <sz val="9"/>
        <color theme="1"/>
        <rFont val="Arial"/>
        <family val="2"/>
      </rPr>
      <t>A</t>
    </r>
  </si>
  <si>
    <r>
      <rPr>
        <sz val="8"/>
        <color theme="1"/>
        <rFont val="Arial"/>
        <family val="2"/>
      </rPr>
      <t>Signatures of responsibles for the teams (Off.A)</t>
    </r>
  </si>
  <si>
    <r>
      <rPr>
        <b/>
        <sz val="9"/>
        <color theme="1"/>
        <rFont val="Arial"/>
        <family val="2"/>
      </rPr>
      <t>B</t>
    </r>
  </si>
  <si>
    <t>Remarks of referees / Official:</t>
  </si>
  <si>
    <t>Referees                                                                                                  Signatures                                                                                                                           Signatures</t>
  </si>
  <si>
    <r>
      <rPr>
        <sz val="8"/>
        <color theme="1"/>
        <rFont val="Arial"/>
        <family val="2"/>
      </rPr>
      <t>Technical Officials</t>
    </r>
  </si>
  <si>
    <t>Federation Technical Delegate/Official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</si>
</sst>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_(&quot;$&quot;* \(#,##0.00\);_(&quot;$&quot;* &quot;-&quot;??_);_(@_)"/>
    <numFmt numFmtId="43" formatCode="_(* #,##0.00_);_(* \(#,##0.00\);_(* &quot;-&quot;??_);_(@_)"/>
    <numFmt numFmtId="164" formatCode="&quot;$&quot;#,##0.00"/>
    <numFmt numFmtId="165" formatCode="[$-409]h:mm\ AM/PM"/>
    <numFmt numFmtId="166" formatCode="&quot;$&quot;#,##0"/>
    <numFmt numFmtId="167" formatCode="0.0%"/>
    <numFmt numFmtId="168" formatCode="mm/dd/yy;@"/>
    <numFmt numFmtId="169" formatCode="_(* #,##0.0_);_(* \(#,##0.0\);_(* &quot;-&quot;??_);_(@_)"/>
    <numFmt numFmtId="170" formatCode="mmm\ dd\,\ yyyy"/>
    <numFmt numFmtId="171" formatCode="&quot;$&quot;#,##0.0"/>
    <numFmt numFmtId="172" formatCode="&quot;$&quot;#,##0;\(&quot;$&quot;#,##0\)"/>
    <numFmt numFmtId="173" formatCode="0.0"/>
    <numFmt numFmtId="174" formatCode="ddd\,\ mmm\ d\,\ yyyy"/>
    <numFmt numFmtId="175" formatCode="&quot;$&quot;#,##0.00;\(&quot;$&quot;#,##0.00\);\-"/>
    <numFmt numFmtId="176" formatCode="&quot;$&quot;#,##0;\(&quot;$&quot;#,##0\);\-"/>
  </numFmts>
  <fonts count="206">
    <font>
      <sz val="11"/>
      <color theme="1"/>
      <name val="Calibri"/>
      <scheme val="minor"/>
    </font>
    <font>
      <sz val="11"/>
      <color theme="1"/>
      <name val="Calibri"/>
      <family val="2"/>
      <scheme val="minor"/>
    </font>
    <font>
      <sz val="11"/>
      <color theme="1"/>
      <name val="Calibri"/>
      <family val="2"/>
      <scheme val="minor"/>
    </font>
    <font>
      <b/>
      <sz val="11"/>
      <color rgb="FFFF0000"/>
      <name val="Calibri"/>
    </font>
    <font>
      <b/>
      <sz val="11"/>
      <color theme="1"/>
      <name val="Calibri"/>
    </font>
    <font>
      <sz val="11"/>
      <color theme="1"/>
      <name val="Calibri"/>
    </font>
    <font>
      <sz val="10"/>
      <color theme="1"/>
      <name val="Arial"/>
    </font>
    <font>
      <sz val="10"/>
      <color rgb="FF0000FF"/>
      <name val="Arial"/>
    </font>
    <font>
      <sz val="11"/>
      <color rgb="FF0000FF"/>
      <name val="Calibri"/>
    </font>
    <font>
      <sz val="11"/>
      <color rgb="FF006600"/>
      <name val="Calibri"/>
    </font>
    <font>
      <sz val="11"/>
      <color rgb="FF0066FF"/>
      <name val="Calibri"/>
    </font>
    <font>
      <sz val="11"/>
      <color rgb="FFFF0000"/>
      <name val="Calibri"/>
    </font>
    <font>
      <i/>
      <sz val="8"/>
      <color theme="1"/>
      <name val="Calibri"/>
    </font>
    <font>
      <b/>
      <sz val="11"/>
      <color theme="0"/>
      <name val="Calibri"/>
    </font>
    <font>
      <sz val="11"/>
      <name val="Calibri"/>
    </font>
    <font>
      <b/>
      <sz val="11"/>
      <color theme="1"/>
      <name val="Calibri"/>
      <scheme val="minor"/>
    </font>
    <font>
      <sz val="10"/>
      <color rgb="FFFF0000"/>
      <name val="Arial"/>
    </font>
    <font>
      <u/>
      <sz val="11"/>
      <color rgb="FF0000FF"/>
      <name val="Calibri"/>
    </font>
    <font>
      <b/>
      <sz val="11"/>
      <color rgb="FF006600"/>
      <name val="Calibri"/>
    </font>
    <font>
      <b/>
      <sz val="11"/>
      <color rgb="FFFFFFFF"/>
      <name val="Calibri"/>
      <scheme val="minor"/>
    </font>
    <font>
      <b/>
      <sz val="12"/>
      <color theme="1"/>
      <name val="Calibri"/>
      <scheme val="minor"/>
    </font>
    <font>
      <b/>
      <sz val="18"/>
      <color rgb="FF1F4E79"/>
      <name val="Calibri"/>
      <scheme val="minor"/>
    </font>
    <font>
      <b/>
      <sz val="14"/>
      <color theme="1"/>
      <name val="Calibri"/>
      <scheme val="minor"/>
    </font>
    <font>
      <b/>
      <sz val="14"/>
      <color rgb="FF2E7D32"/>
      <name val="Calibri"/>
      <scheme val="minor"/>
    </font>
    <font>
      <b/>
      <sz val="12"/>
      <color rgb="FFFFFFFF"/>
      <name val="Calibri"/>
      <scheme val="minor"/>
    </font>
    <font>
      <b/>
      <sz val="18"/>
      <color rgb="FFFFFFFF"/>
      <name val="Calibri"/>
      <scheme val="minor"/>
    </font>
    <font>
      <b/>
      <sz val="12"/>
      <color rgb="FF1F3864"/>
      <name val="Calibri"/>
      <scheme val="minor"/>
    </font>
    <font>
      <b/>
      <sz val="11"/>
      <color rgb="FFFFFFFF"/>
      <name val="Calibri"/>
    </font>
    <font>
      <b/>
      <sz val="10"/>
      <color rgb="FFFFFFFF"/>
      <name val="Arial"/>
    </font>
    <font>
      <b/>
      <sz val="11"/>
      <color rgb="FFED7D31"/>
      <name val="Calibri"/>
    </font>
    <font>
      <b/>
      <sz val="14"/>
      <color rgb="FFFFFFFF"/>
      <name val="Calibri"/>
    </font>
    <font>
      <b/>
      <sz val="14"/>
      <color rgb="FFFFFFFF"/>
      <name val="Calibri"/>
      <scheme val="minor"/>
    </font>
    <font>
      <b/>
      <sz val="16"/>
      <color rgb="FFFFFFFF"/>
      <name val="Calibri"/>
      <scheme val="minor"/>
    </font>
    <font>
      <i/>
      <sz val="11"/>
      <color theme="1"/>
      <name val="Calibri"/>
      <scheme val="minor"/>
    </font>
    <font>
      <i/>
      <sz val="9"/>
      <color rgb="FF666666"/>
      <name val="Calibri"/>
      <scheme val="minor"/>
    </font>
    <font>
      <sz val="11"/>
      <color theme="1"/>
      <name val="Calibri"/>
      <scheme val="minor"/>
    </font>
    <font>
      <b/>
      <sz val="11"/>
      <color theme="0"/>
      <name val="Calibri"/>
      <family val="2"/>
      <scheme val="minor"/>
    </font>
    <font>
      <b/>
      <sz val="11"/>
      <color theme="1"/>
      <name val="Calibri"/>
      <family val="2"/>
      <scheme val="minor"/>
    </font>
    <font>
      <sz val="10"/>
      <color rgb="FF000000"/>
      <name val="Calibri"/>
      <family val="2"/>
      <scheme val="minor"/>
    </font>
    <font>
      <b/>
      <sz val="12"/>
      <color theme="1"/>
      <name val="Abadi mt condensed light"/>
    </font>
    <font>
      <b/>
      <sz val="16"/>
      <color theme="1"/>
      <name val="Arial"/>
      <family val="2"/>
    </font>
    <font>
      <b/>
      <sz val="12"/>
      <color rgb="FF000000"/>
      <name val="Arial"/>
      <family val="2"/>
    </font>
    <font>
      <sz val="10"/>
      <name val="Calibri"/>
      <family val="2"/>
    </font>
    <font>
      <sz val="10"/>
      <color rgb="FF000000"/>
      <name val="Times New Roman"/>
      <family val="1"/>
    </font>
    <font>
      <b/>
      <sz val="9"/>
      <color theme="1"/>
      <name val="Arial"/>
      <family val="2"/>
    </font>
    <font>
      <sz val="5"/>
      <color rgb="FF000000"/>
      <name val="Arial"/>
      <family val="2"/>
    </font>
    <font>
      <sz val="8"/>
      <color theme="1"/>
      <name val="Arial"/>
      <family val="2"/>
    </font>
    <font>
      <sz val="8"/>
      <color rgb="FF000000"/>
      <name val="Arial"/>
      <family val="2"/>
    </font>
    <font>
      <i/>
      <sz val="8"/>
      <color rgb="FF000000"/>
      <name val="Arial"/>
      <family val="2"/>
    </font>
    <font>
      <sz val="9"/>
      <color theme="1"/>
      <name val="Arial"/>
      <family val="2"/>
    </font>
    <font>
      <sz val="9"/>
      <name val="Calibri"/>
      <family val="2"/>
    </font>
    <font>
      <sz val="9"/>
      <color rgb="FF000000"/>
      <name val="Arial"/>
      <family val="2"/>
    </font>
    <font>
      <sz val="11"/>
      <color rgb="FF0000FF"/>
      <name val="Calibri"/>
      <family val="2"/>
      <scheme val="minor"/>
    </font>
    <font>
      <sz val="10"/>
      <color theme="1"/>
      <name val="Calibri"/>
      <family val="2"/>
      <scheme val="minor"/>
    </font>
    <font>
      <sz val="11"/>
      <color indexed="8"/>
      <name val="Calibri"/>
      <family val="2"/>
    </font>
    <font>
      <sz val="10"/>
      <color rgb="FF000000"/>
      <name val="Arial"/>
    </font>
    <font>
      <sz val="9"/>
      <color indexed="81"/>
      <name val="Tahoma"/>
      <charset val="1"/>
    </font>
    <font>
      <b/>
      <sz val="10"/>
      <color theme="1"/>
      <name val="Arial"/>
    </font>
    <font>
      <i/>
      <sz val="10"/>
      <color theme="1"/>
      <name val="Arial"/>
    </font>
    <font>
      <sz val="10"/>
      <color rgb="FF006600"/>
      <name val="Arial"/>
    </font>
    <font>
      <u/>
      <sz val="10"/>
      <color rgb="FF1155CC"/>
      <name val="Calibri"/>
    </font>
    <font>
      <b/>
      <sz val="10"/>
      <color rgb="FF000000"/>
      <name val="Arial"/>
    </font>
    <font>
      <sz val="10"/>
      <color theme="1"/>
      <name val="Calibri"/>
    </font>
    <font>
      <sz val="10"/>
      <color rgb="FF000000"/>
      <name val="Calibri"/>
    </font>
    <font>
      <b/>
      <sz val="10"/>
      <color rgb="FF000000"/>
      <name val="Calibri"/>
    </font>
    <font>
      <sz val="10"/>
      <color rgb="FF0033CC"/>
      <name val="Calibri"/>
    </font>
    <font>
      <sz val="11"/>
      <color theme="0"/>
      <name val="Calibri"/>
    </font>
    <font>
      <u/>
      <sz val="11"/>
      <color theme="10"/>
      <name val="Calibri"/>
    </font>
    <font>
      <b/>
      <sz val="18"/>
      <color rgb="FF1F3864"/>
      <name val="Calibri"/>
      <scheme val="minor"/>
    </font>
    <font>
      <b/>
      <sz val="20"/>
      <color rgb="FF1F3864"/>
      <name val="Calibri"/>
      <scheme val="minor"/>
    </font>
    <font>
      <b/>
      <sz val="14"/>
      <color rgb="FFED7D31"/>
      <name val="Calibri"/>
      <scheme val="minor"/>
    </font>
    <font>
      <b/>
      <sz val="10"/>
      <color rgb="FFFFFFFF"/>
      <name val="Calibri"/>
      <family val="2"/>
      <scheme val="minor"/>
    </font>
    <font>
      <b/>
      <sz val="11"/>
      <color rgb="FF000000"/>
      <name val="Calibri"/>
      <family val="2"/>
      <scheme val="minor"/>
    </font>
    <font>
      <b/>
      <sz val="11"/>
      <color rgb="FF1F3864"/>
      <name val="Calibri"/>
      <family val="2"/>
      <scheme val="minor"/>
    </font>
    <font>
      <b/>
      <sz val="10"/>
      <color rgb="FFFFFFFF"/>
      <name val="Arial"/>
      <family val="2"/>
    </font>
    <font>
      <sz val="11"/>
      <color rgb="FF4169E1"/>
      <name val="Calibri"/>
      <scheme val="minor"/>
    </font>
    <font>
      <b/>
      <sz val="11"/>
      <color rgb="FF000000"/>
      <name val="Calibri"/>
      <scheme val="minor"/>
    </font>
    <font>
      <b/>
      <sz val="11"/>
      <color rgb="FF000000"/>
      <name val="Calibri"/>
    </font>
    <font>
      <sz val="10"/>
      <color rgb="FF4169E1"/>
      <name val="Arial"/>
    </font>
    <font>
      <sz val="11"/>
      <color rgb="FF000000"/>
      <name val="Calibri"/>
    </font>
    <font>
      <sz val="11"/>
      <color rgb="FF000000"/>
      <name val="Calibri"/>
      <scheme val="minor"/>
    </font>
    <font>
      <b/>
      <sz val="10"/>
      <color rgb="FF000000"/>
      <name val="Arial"/>
      <family val="2"/>
    </font>
    <font>
      <b/>
      <sz val="10"/>
      <color rgb="FF000000"/>
      <name val="Calibri"/>
      <family val="2"/>
    </font>
    <font>
      <sz val="6"/>
      <color rgb="FF000000"/>
      <name val="Arial"/>
      <family val="2"/>
    </font>
    <font>
      <sz val="10"/>
      <color rgb="FF000000"/>
      <name val="Calibri"/>
      <family val="2"/>
    </font>
    <font>
      <b/>
      <sz val="9"/>
      <color rgb="FF000000"/>
      <name val="Arial"/>
      <family val="2"/>
    </font>
    <font>
      <sz val="10"/>
      <color rgb="FF4169E1"/>
      <name val="Calibri"/>
      <family val="2"/>
      <scheme val="minor"/>
    </font>
    <font>
      <sz val="11"/>
      <color rgb="FF4169E1"/>
      <name val="Calibri"/>
      <family val="2"/>
      <scheme val="minor"/>
    </font>
    <font>
      <sz val="11"/>
      <color rgb="FF000000"/>
      <name val="Calibri"/>
      <family val="2"/>
      <scheme val="minor"/>
    </font>
    <font>
      <b/>
      <sz val="16"/>
      <color rgb="FF000000"/>
      <name val="Calibri"/>
      <scheme val="minor"/>
    </font>
    <font>
      <i/>
      <sz val="11"/>
      <color rgb="FF666666"/>
      <name val="Calibri"/>
      <scheme val="minor"/>
    </font>
    <font>
      <b/>
      <sz val="11"/>
      <color rgb="FF1F3864"/>
      <name val="Calibri"/>
      <scheme val="minor"/>
    </font>
    <font>
      <b/>
      <sz val="11"/>
      <color rgb="FFFFFFFF"/>
      <name val="Calibri"/>
      <family val="2"/>
      <scheme val="minor"/>
    </font>
    <font>
      <b/>
      <sz val="14"/>
      <color rgb="FFFFFFFF"/>
      <name val="Calibri"/>
      <family val="2"/>
      <scheme val="minor"/>
    </font>
    <font>
      <b/>
      <sz val="11"/>
      <color rgb="FFED7D31"/>
      <name val="Calibri"/>
      <family val="2"/>
      <scheme val="minor"/>
    </font>
    <font>
      <sz val="11"/>
      <color rgb="FF008000"/>
      <name val="Calibri"/>
      <family val="2"/>
      <scheme val="minor"/>
    </font>
    <font>
      <sz val="11"/>
      <color theme="3"/>
      <name val="Calibri"/>
      <family val="2"/>
      <scheme val="minor"/>
    </font>
    <font>
      <b/>
      <sz val="12"/>
      <color rgb="FF1F3864"/>
      <name val="Calibri"/>
      <family val="2"/>
      <scheme val="minor"/>
    </font>
    <font>
      <b/>
      <sz val="8"/>
      <color theme="3"/>
      <name val="Arial"/>
      <family val="2"/>
    </font>
    <font>
      <b/>
      <sz val="10"/>
      <color theme="3"/>
      <name val="Calibri"/>
      <family val="2"/>
    </font>
    <font>
      <b/>
      <sz val="8"/>
      <color theme="3"/>
      <name val="Times New Roman"/>
      <family val="1"/>
    </font>
    <font>
      <sz val="11"/>
      <color theme="3"/>
      <name val="Calibri"/>
      <family val="1"/>
      <scheme val="minor"/>
    </font>
    <font>
      <b/>
      <sz val="10"/>
      <color theme="3"/>
      <name val="Calibri"/>
      <family val="2"/>
      <scheme val="minor"/>
    </font>
    <font>
      <b/>
      <sz val="16"/>
      <color theme="1"/>
      <name val="Calibri"/>
      <family val="2"/>
      <scheme val="minor"/>
    </font>
    <font>
      <b/>
      <sz val="16"/>
      <color rgb="FFFFFFFF"/>
      <name val="Calibri"/>
      <family val="2"/>
      <scheme val="minor"/>
    </font>
    <font>
      <sz val="10"/>
      <name val="Calibri"/>
      <family val="2"/>
      <scheme val="minor"/>
    </font>
    <font>
      <b/>
      <sz val="18"/>
      <color rgb="FFFFFFFF"/>
      <name val="Calibri"/>
      <family val="2"/>
      <scheme val="minor"/>
    </font>
    <font>
      <i/>
      <sz val="11"/>
      <color theme="1"/>
      <name val="Calibri"/>
      <family val="2"/>
      <scheme val="minor"/>
    </font>
    <font>
      <b/>
      <sz val="11"/>
      <color rgb="FFFFFFFF"/>
      <name val="Calibri"/>
      <family val="2"/>
    </font>
    <font>
      <b/>
      <sz val="12"/>
      <color rgb="FFFFFFFF"/>
      <name val="Calibri"/>
      <family val="2"/>
      <scheme val="minor"/>
    </font>
    <font>
      <i/>
      <sz val="10"/>
      <color theme="1"/>
      <name val="Calibri"/>
      <family val="2"/>
      <scheme val="minor"/>
    </font>
    <font>
      <b/>
      <sz val="9"/>
      <color theme="1"/>
      <name val="Calibri"/>
      <family val="2"/>
      <scheme val="minor"/>
    </font>
    <font>
      <b/>
      <sz val="11"/>
      <color theme="0"/>
      <name val="Calibri"/>
      <family val="2"/>
    </font>
    <font>
      <b/>
      <sz val="10"/>
      <color theme="0"/>
      <name val="Arial"/>
      <family val="2"/>
    </font>
    <font>
      <b/>
      <sz val="9"/>
      <color rgb="FF808080"/>
      <name val="Calibri"/>
      <family val="2"/>
      <scheme val="minor"/>
    </font>
    <font>
      <sz val="9"/>
      <color rgb="FF000000"/>
      <name val="Calibri"/>
      <family val="2"/>
      <scheme val="minor"/>
    </font>
    <font>
      <b/>
      <sz val="9"/>
      <name val="Calibri"/>
      <family val="2"/>
      <scheme val="minor"/>
    </font>
    <font>
      <b/>
      <sz val="14"/>
      <color rgb="FF1F3864"/>
      <name val="Calibri"/>
      <family val="2"/>
      <scheme val="minor"/>
    </font>
    <font>
      <sz val="11"/>
      <color rgb="FFFFFFFF"/>
      <name val="Calibri"/>
      <family val="2"/>
    </font>
    <font>
      <sz val="11"/>
      <color theme="0"/>
      <name val="Calibri"/>
      <family val="2"/>
      <scheme val="minor"/>
    </font>
    <font>
      <sz val="11"/>
      <color rgb="FF0033CC"/>
      <name val="Calibri"/>
      <family val="2"/>
      <scheme val="minor"/>
    </font>
    <font>
      <b/>
      <sz val="12"/>
      <name val="Calibri"/>
      <family val="2"/>
      <scheme val="minor"/>
    </font>
    <font>
      <b/>
      <sz val="11"/>
      <name val="Calibri"/>
      <family val="2"/>
      <scheme val="minor"/>
    </font>
    <font>
      <sz val="9"/>
      <color indexed="81"/>
      <name val="Tahoma"/>
      <family val="2"/>
    </font>
    <font>
      <b/>
      <sz val="9"/>
      <color indexed="81"/>
      <name val="Tahoma"/>
      <family val="2"/>
    </font>
    <font>
      <b/>
      <sz val="14"/>
      <color theme="1"/>
      <name val="Calibri"/>
      <family val="2"/>
      <scheme val="minor"/>
    </font>
    <font>
      <i/>
      <sz val="11"/>
      <color rgb="FF666666"/>
      <name val="Calibri"/>
      <family val="2"/>
      <scheme val="minor"/>
    </font>
    <font>
      <b/>
      <sz val="9"/>
      <color indexed="81"/>
      <name val="Tahoma"/>
      <charset val="1"/>
    </font>
    <font>
      <b/>
      <sz val="10"/>
      <color theme="1"/>
      <name val="Calibri"/>
      <family val="2"/>
      <scheme val="minor"/>
    </font>
    <font>
      <sz val="10"/>
      <color theme="1"/>
      <name val="Calibri"/>
      <scheme val="minor"/>
    </font>
    <font>
      <b/>
      <sz val="10"/>
      <color theme="1"/>
      <name val="Calibri"/>
      <scheme val="minor"/>
    </font>
    <font>
      <b/>
      <sz val="11"/>
      <color rgb="FFED7D31"/>
      <name val="Calibri"/>
      <scheme val="minor"/>
    </font>
    <font>
      <sz val="11"/>
      <color rgb="FF0000FF"/>
      <name val="Calibri"/>
      <scheme val="minor"/>
    </font>
    <font>
      <sz val="11"/>
      <color rgb="FF008000"/>
      <name val="Calibri"/>
      <scheme val="minor"/>
    </font>
    <font>
      <sz val="11"/>
      <color rgb="FF008000"/>
      <name val="Calibri"/>
    </font>
    <font>
      <b/>
      <sz val="12"/>
      <color theme="0"/>
      <name val="Calibri"/>
      <family val="2"/>
      <scheme val="minor"/>
    </font>
    <font>
      <b/>
      <sz val="16"/>
      <color rgb="FF008000"/>
      <name val="Calibri"/>
      <family val="2"/>
      <scheme val="minor"/>
    </font>
    <font>
      <b/>
      <sz val="11"/>
      <color rgb="FF008000"/>
      <name val="Calibri"/>
      <family val="2"/>
    </font>
    <font>
      <sz val="11"/>
      <color rgb="FF008000"/>
      <name val="Calibri"/>
      <family val="2"/>
    </font>
    <font>
      <sz val="11"/>
      <color rgb="FF006100"/>
      <name val="Calibri"/>
      <scheme val="minor"/>
    </font>
    <font>
      <sz val="10"/>
      <color rgb="FF008000"/>
      <name val="Arial"/>
    </font>
    <font>
      <sz val="10"/>
      <color rgb="FF000000"/>
      <name val="Calibri"/>
      <scheme val="minor"/>
    </font>
    <font>
      <i/>
      <sz val="8"/>
      <color rgb="FF000000"/>
      <name val="Calibri"/>
    </font>
    <font>
      <b/>
      <sz val="11"/>
      <color rgb="FF000000"/>
      <name val="Calibri"/>
      <family val="2"/>
    </font>
    <font>
      <sz val="10"/>
      <color rgb="FF0000FF"/>
      <name val="Arial"/>
      <family val="2"/>
    </font>
    <font>
      <b/>
      <sz val="16"/>
      <color rgb="FF000000"/>
      <name val="Calibri"/>
      <family val="2"/>
      <scheme val="minor"/>
    </font>
    <font>
      <i/>
      <sz val="10"/>
      <color rgb="FF000000"/>
      <name val="Arial"/>
    </font>
    <font>
      <i/>
      <sz val="10"/>
      <color rgb="FF0000FF"/>
      <name val="Arial"/>
    </font>
    <font>
      <b/>
      <sz val="10"/>
      <color rgb="FF0000FF"/>
      <name val="Arial"/>
    </font>
    <font>
      <sz val="10"/>
      <color rgb="FF008000"/>
      <name val="Calibri"/>
      <family val="2"/>
      <scheme val="minor"/>
    </font>
    <font>
      <sz val="5"/>
      <color rgb="FF0000FF"/>
      <name val="Arial"/>
      <family val="2"/>
    </font>
    <font>
      <i/>
      <sz val="11"/>
      <color rgb="FF008000"/>
      <name val="Calibri"/>
      <scheme val="minor"/>
    </font>
    <font>
      <b/>
      <sz val="14"/>
      <color rgb="FF008000"/>
      <name val="Calibri"/>
      <scheme val="minor"/>
    </font>
    <font>
      <sz val="10"/>
      <color rgb="FF008000"/>
      <name val="Arial"/>
      <family val="2"/>
    </font>
    <font>
      <b/>
      <sz val="16"/>
      <color theme="0"/>
      <name val="Calibri"/>
      <family val="2"/>
      <scheme val="minor"/>
    </font>
    <font>
      <i/>
      <sz val="11"/>
      <color rgb="FF444444"/>
      <name val="Calibri"/>
      <scheme val="minor"/>
    </font>
    <font>
      <b/>
      <sz val="13"/>
      <color rgb="FFFFFFFF"/>
      <name val="Calibri"/>
      <scheme val="minor"/>
    </font>
    <font>
      <b/>
      <sz val="11"/>
      <color rgb="FFC00000"/>
      <name val="Calibri"/>
      <scheme val="minor"/>
    </font>
    <font>
      <sz val="11"/>
      <color rgb="FFC00000"/>
      <name val="Calibri"/>
      <scheme val="minor"/>
    </font>
    <font>
      <b/>
      <i/>
      <sz val="11"/>
      <color rgb="FF444444"/>
      <name val="Calibri"/>
      <scheme val="minor"/>
    </font>
    <font>
      <b/>
      <sz val="11"/>
      <color rgb="FF0000FF"/>
      <name val="Calibri"/>
      <scheme val="minor"/>
    </font>
    <font>
      <b/>
      <sz val="11"/>
      <color rgb="FF008000"/>
      <name val="Calibri"/>
      <scheme val="minor"/>
    </font>
    <font>
      <sz val="11"/>
      <color rgb="FFFF0000"/>
      <name val="Calibri"/>
      <scheme val="minor"/>
    </font>
    <font>
      <b/>
      <sz val="11"/>
      <color rgb="FFFF0000"/>
      <name val="Calibri"/>
      <scheme val="minor"/>
    </font>
    <font>
      <b/>
      <sz val="12"/>
      <color rgb="FF0000FF"/>
      <name val="Calibri"/>
      <scheme val="minor"/>
    </font>
    <font>
      <sz val="11"/>
      <color rgb="FF006100"/>
      <name val="Calibri"/>
      <family val="2"/>
      <scheme val="minor"/>
    </font>
    <font>
      <i/>
      <sz val="11"/>
      <color rgb="FF999999"/>
      <name val="Calibri"/>
      <scheme val="minor"/>
    </font>
    <font>
      <b/>
      <i/>
      <sz val="9"/>
      <color rgb="FFFFFFFF"/>
      <name val="Calibri"/>
      <scheme val="minor"/>
    </font>
    <font>
      <b/>
      <sz val="11"/>
      <color rgb="FF008000"/>
      <name val="Calibri"/>
      <family val="2"/>
      <scheme val="minor"/>
    </font>
    <font>
      <b/>
      <sz val="10"/>
      <color rgb="FF000000"/>
      <name val="Calibri"/>
      <scheme val="minor"/>
    </font>
    <font>
      <b/>
      <sz val="14"/>
      <color rgb="FFC00000"/>
      <name val="Calibri"/>
      <family val="2"/>
      <scheme val="minor"/>
    </font>
    <font>
      <sz val="11"/>
      <color rgb="FFC00000"/>
      <name val="Calibri"/>
      <family val="2"/>
      <scheme val="minor"/>
    </font>
    <font>
      <sz val="11"/>
      <color rgb="FF006600"/>
      <name val="Calibri"/>
      <family val="2"/>
      <scheme val="minor"/>
    </font>
    <font>
      <sz val="11"/>
      <name val="Calibri"/>
      <family val="2"/>
      <scheme val="minor"/>
    </font>
    <font>
      <b/>
      <sz val="12"/>
      <color rgb="FF006100"/>
      <name val="Calibri"/>
      <scheme val="minor"/>
    </font>
    <font>
      <b/>
      <sz val="11"/>
      <color rgb="FF0000FF"/>
      <name val="Calibri"/>
      <family val="2"/>
      <scheme val="minor"/>
    </font>
    <font>
      <i/>
      <sz val="9"/>
      <color rgb="FF888888"/>
      <name val="Calibri"/>
      <family val="2"/>
      <scheme val="minor"/>
    </font>
    <font>
      <sz val="11"/>
      <color rgb="FF006600"/>
      <name val="Calibri"/>
      <family val="2"/>
    </font>
    <font>
      <sz val="11"/>
      <name val="Calibri"/>
      <family val="2"/>
    </font>
    <font>
      <sz val="9"/>
      <color rgb="FF006100"/>
      <name val="Calibri"/>
      <scheme val="minor"/>
    </font>
    <font>
      <sz val="10"/>
      <color rgb="FF006600"/>
      <name val="Arial"/>
      <family val="2"/>
    </font>
    <font>
      <i/>
      <sz val="11"/>
      <color rgb="FF595959"/>
      <name val="Calibri"/>
      <scheme val="minor"/>
    </font>
    <font>
      <sz val="11"/>
      <color rgb="FF375623"/>
      <name val="Calibri"/>
      <scheme val="minor"/>
    </font>
    <font>
      <u/>
      <sz val="11"/>
      <color theme="10"/>
      <name val="Calibri"/>
      <scheme val="minor"/>
    </font>
    <font>
      <u/>
      <sz val="11"/>
      <color rgb="FF0563C1"/>
      <name val="Calibri"/>
      <scheme val="minor"/>
    </font>
    <font>
      <sz val="11"/>
      <color rgb="FFFFFFFF"/>
      <name val="Calibri"/>
      <scheme val="minor"/>
    </font>
    <font>
      <b/>
      <sz val="11"/>
      <color rgb="FF006100"/>
      <name val="Calibri"/>
      <scheme val="minor"/>
    </font>
    <font>
      <b/>
      <i/>
      <sz val="10"/>
      <color rgb="FF000000"/>
      <name val="Calibri"/>
      <family val="2"/>
    </font>
    <font>
      <b/>
      <sz val="11"/>
      <color rgb="FF1F3864"/>
      <name val="Calibri"/>
      <family val="2"/>
    </font>
    <font>
      <sz val="10"/>
      <color rgb="FF008000"/>
      <name val="Calibri"/>
      <scheme val="minor"/>
    </font>
    <font>
      <sz val="10"/>
      <color rgb="FF0033CC"/>
      <name val="Arial"/>
      <family val="2"/>
    </font>
    <font>
      <i/>
      <sz val="11"/>
      <color rgb="FF0000FF"/>
      <name val="Calibri"/>
      <family val="2"/>
      <scheme val="minor"/>
    </font>
    <font>
      <i/>
      <sz val="11"/>
      <color rgb="FFFFFFFF"/>
      <name val="Calibri"/>
      <family val="2"/>
      <scheme val="minor"/>
    </font>
    <font>
      <b/>
      <i/>
      <sz val="11"/>
      <color rgb="FFFFFFFF"/>
      <name val="Calibri"/>
      <family val="2"/>
      <scheme val="minor"/>
    </font>
    <font>
      <sz val="11"/>
      <color rgb="FF0033CC"/>
      <name val="Calibri"/>
      <family val="2"/>
    </font>
    <font>
      <i/>
      <sz val="10"/>
      <color rgb="FF444444"/>
      <name val="Calibri"/>
      <scheme val="minor"/>
    </font>
    <font>
      <i/>
      <sz val="10"/>
      <color rgb="FF595959"/>
      <name val="Calibri"/>
      <scheme val="minor"/>
    </font>
    <font>
      <u/>
      <sz val="11"/>
      <color rgb="FF0033CC"/>
      <name val="Calibri"/>
      <family val="2"/>
      <scheme val="minor"/>
    </font>
    <font>
      <i/>
      <sz val="10"/>
      <color rgb="FF595959"/>
      <name val="Calibri"/>
      <family val="2"/>
      <scheme val="minor"/>
    </font>
    <font>
      <b/>
      <i/>
      <sz val="10"/>
      <color rgb="FF595959"/>
      <name val="Calibri"/>
      <family val="2"/>
      <scheme val="minor"/>
    </font>
    <font>
      <b/>
      <sz val="14"/>
      <color rgb="FF008000"/>
      <name val="Calibri"/>
      <family val="2"/>
    </font>
    <font>
      <i/>
      <sz val="10"/>
      <color rgb="FF008000"/>
      <name val="Arial"/>
      <family val="2"/>
    </font>
    <font>
      <b/>
      <sz val="16"/>
      <color rgb="FF1F4E79"/>
      <name val="Calibri"/>
      <scheme val="minor"/>
    </font>
    <font>
      <i/>
      <sz val="10"/>
      <color rgb="FF666666"/>
      <name val="Calibri"/>
      <scheme val="minor"/>
    </font>
    <font>
      <i/>
      <sz val="9"/>
      <color rgb="FF999999"/>
      <name val="Calibri"/>
      <scheme val="minor"/>
    </font>
    <font>
      <b/>
      <sz val="10"/>
      <color rgb="FF1F4E79"/>
      <name val="Calibri"/>
      <scheme val="minor"/>
    </font>
  </fonts>
  <fills count="57">
    <fill>
      <patternFill patternType="none"/>
    </fill>
    <fill>
      <patternFill patternType="gray125"/>
    </fill>
    <fill>
      <patternFill patternType="solid">
        <fgColor rgb="FFFFFFCC"/>
        <bgColor rgb="FFFFFFCC"/>
      </patternFill>
    </fill>
    <fill>
      <patternFill patternType="solid">
        <fgColor rgb="FFDEEAF6"/>
        <bgColor rgb="FFDEEAF6"/>
      </patternFill>
    </fill>
    <fill>
      <patternFill patternType="solid">
        <fgColor rgb="FFD0CECE"/>
        <bgColor rgb="FFD0CECE"/>
      </patternFill>
    </fill>
    <fill>
      <patternFill patternType="solid">
        <fgColor rgb="FF0000FF"/>
        <bgColor rgb="FF0000FF"/>
      </patternFill>
    </fill>
    <fill>
      <patternFill patternType="solid">
        <fgColor rgb="FFFFC000"/>
        <bgColor rgb="FFFFC000"/>
      </patternFill>
    </fill>
    <fill>
      <patternFill patternType="solid">
        <fgColor rgb="FFFFFF00"/>
        <bgColor rgb="FFFFFF00"/>
      </patternFill>
    </fill>
    <fill>
      <patternFill patternType="solid">
        <fgColor theme="6"/>
        <bgColor theme="6"/>
      </patternFill>
    </fill>
    <fill>
      <patternFill patternType="solid">
        <fgColor rgb="FFD9EAD3"/>
        <bgColor rgb="FFD9EAD3"/>
      </patternFill>
    </fill>
    <fill>
      <patternFill patternType="solid">
        <fgColor rgb="FFD6DCE4"/>
        <bgColor indexed="64"/>
      </patternFill>
    </fill>
    <fill>
      <patternFill patternType="solid">
        <fgColor rgb="FF1F3864"/>
        <bgColor indexed="64"/>
      </patternFill>
    </fill>
    <fill>
      <patternFill patternType="solid">
        <fgColor rgb="FFED7D31"/>
        <bgColor indexed="64"/>
      </patternFill>
    </fill>
    <fill>
      <patternFill patternType="solid">
        <fgColor rgb="FFFFFFFF"/>
        <bgColor indexed="64"/>
      </patternFill>
    </fill>
    <fill>
      <patternFill patternType="solid">
        <fgColor rgb="FFF2F2F2"/>
        <bgColor indexed="64"/>
      </patternFill>
    </fill>
    <fill>
      <patternFill patternType="solid">
        <fgColor rgb="FFFFD700"/>
        <bgColor indexed="64"/>
      </patternFill>
    </fill>
    <fill>
      <patternFill patternType="solid">
        <fgColor rgb="FFC0C0C0"/>
        <bgColor indexed="64"/>
      </patternFill>
    </fill>
    <fill>
      <patternFill patternType="solid">
        <fgColor rgb="FFCD7F32"/>
        <bgColor indexed="64"/>
      </patternFill>
    </fill>
    <fill>
      <patternFill patternType="solid">
        <fgColor rgb="FFD6E3F8"/>
        <bgColor indexed="64"/>
      </patternFill>
    </fill>
    <fill>
      <patternFill patternType="solid">
        <fgColor rgb="FFFFFFCC"/>
        <bgColor indexed="64"/>
      </patternFill>
    </fill>
    <fill>
      <patternFill patternType="solid">
        <fgColor theme="6"/>
        <bgColor indexed="64"/>
      </patternFill>
    </fill>
    <fill>
      <patternFill patternType="solid">
        <fgColor rgb="FFFF0000"/>
        <bgColor indexed="64"/>
      </patternFill>
    </fill>
    <fill>
      <patternFill patternType="solid">
        <fgColor rgb="FFFFFFFF"/>
        <bgColor rgb="FFFFFFFF"/>
      </patternFill>
    </fill>
    <fill>
      <patternFill patternType="solid">
        <fgColor rgb="FFF4CCCC"/>
        <bgColor rgb="FFF4CCCC"/>
      </patternFill>
    </fill>
    <fill>
      <patternFill patternType="solid">
        <fgColor rgb="FFFF0000"/>
        <bgColor rgb="FFFF0000"/>
      </patternFill>
    </fill>
    <fill>
      <patternFill patternType="solid">
        <fgColor rgb="FFAEABAB"/>
        <bgColor rgb="FFAEABAB"/>
      </patternFill>
    </fill>
    <fill>
      <patternFill patternType="solid">
        <fgColor theme="4"/>
        <bgColor theme="4"/>
      </patternFill>
    </fill>
    <fill>
      <patternFill patternType="solid">
        <fgColor theme="5"/>
        <bgColor theme="5"/>
      </patternFill>
    </fill>
    <fill>
      <patternFill patternType="solid">
        <fgColor theme="7"/>
        <bgColor theme="7"/>
      </patternFill>
    </fill>
    <fill>
      <patternFill patternType="solid">
        <fgColor rgb="FFE2EFDA"/>
        <bgColor indexed="64"/>
      </patternFill>
    </fill>
    <fill>
      <patternFill patternType="solid">
        <fgColor rgb="FFD9E2F3"/>
        <bgColor indexed="64"/>
      </patternFill>
    </fill>
    <fill>
      <patternFill patternType="solid">
        <fgColor rgb="FFC6EFCE"/>
        <bgColor indexed="64"/>
      </patternFill>
    </fill>
    <fill>
      <patternFill patternType="solid">
        <fgColor rgb="FFFFD966"/>
        <bgColor indexed="64"/>
      </patternFill>
    </fill>
    <fill>
      <patternFill patternType="solid">
        <fgColor rgb="FF70AD47"/>
        <bgColor indexed="64"/>
      </patternFill>
    </fill>
    <fill>
      <patternFill patternType="solid">
        <fgColor rgb="FFFFF2CC"/>
        <bgColor indexed="64"/>
      </patternFill>
    </fill>
    <fill>
      <patternFill patternType="solid">
        <fgColor theme="6" tint="0.59999389629810485"/>
        <bgColor indexed="64"/>
      </patternFill>
    </fill>
    <fill>
      <patternFill patternType="solid">
        <fgColor rgb="FFFCE4D6"/>
        <bgColor indexed="64"/>
      </patternFill>
    </fill>
    <fill>
      <patternFill patternType="solid">
        <fgColor rgb="FFDDEBF7"/>
        <bgColor indexed="64"/>
      </patternFill>
    </fill>
    <fill>
      <patternFill patternType="solid">
        <fgColor rgb="FFFCE4EC"/>
        <bgColor indexed="64"/>
      </patternFill>
    </fill>
    <fill>
      <patternFill patternType="solid">
        <fgColor rgb="FF7030A0"/>
        <bgColor indexed="64"/>
      </patternFill>
    </fill>
    <fill>
      <patternFill patternType="solid">
        <fgColor rgb="FFFFFF00"/>
        <bgColor indexed="64"/>
      </patternFill>
    </fill>
    <fill>
      <patternFill patternType="solid">
        <fgColor rgb="FF548235"/>
        <bgColor indexed="64"/>
      </patternFill>
    </fill>
    <fill>
      <patternFill patternType="solid">
        <fgColor rgb="FFEDE7F6"/>
        <bgColor indexed="64"/>
      </patternFill>
    </fill>
    <fill>
      <patternFill patternType="solid">
        <fgColor rgb="FFC55A11"/>
        <bgColor indexed="64"/>
      </patternFill>
    </fill>
    <fill>
      <patternFill patternType="solid">
        <fgColor rgb="FFFFC000"/>
        <bgColor indexed="64"/>
      </patternFill>
    </fill>
    <fill>
      <patternFill patternType="solid">
        <fgColor rgb="FFD9E1F2"/>
        <bgColor indexed="64"/>
      </patternFill>
    </fill>
    <fill>
      <patternFill patternType="solid">
        <fgColor rgb="FF006600"/>
        <bgColor indexed="64"/>
      </patternFill>
    </fill>
    <fill>
      <patternFill patternType="solid">
        <fgColor rgb="FFE4DFEC"/>
        <bgColor indexed="64"/>
      </patternFill>
    </fill>
    <fill>
      <patternFill patternType="solid">
        <fgColor theme="7"/>
        <bgColor indexed="64"/>
      </patternFill>
    </fill>
    <fill>
      <patternFill patternType="solid">
        <fgColor theme="7" tint="0.59999389629810485"/>
        <bgColor indexed="64"/>
      </patternFill>
    </fill>
    <fill>
      <patternFill patternType="solid">
        <fgColor rgb="FF404040"/>
        <bgColor indexed="64"/>
      </patternFill>
    </fill>
    <fill>
      <patternFill patternType="solid">
        <fgColor rgb="FF0B1F3A"/>
        <bgColor indexed="64"/>
      </patternFill>
    </fill>
    <fill>
      <patternFill patternType="solid">
        <fgColor rgb="FFF47920"/>
        <bgColor indexed="64"/>
      </patternFill>
    </fill>
    <fill>
      <patternFill patternType="solid">
        <fgColor rgb="FFFCE4D0"/>
        <bgColor indexed="64"/>
      </patternFill>
    </fill>
    <fill>
      <patternFill patternType="solid">
        <fgColor theme="4" tint="0.79998168889431442"/>
        <bgColor indexed="64"/>
      </patternFill>
    </fill>
    <fill>
      <patternFill patternType="solid">
        <fgColor theme="2" tint="-0.14999847407452621"/>
        <bgColor indexed="64"/>
      </patternFill>
    </fill>
    <fill>
      <patternFill patternType="solid">
        <fgColor rgb="FF1F4E79"/>
        <bgColor indexed="64"/>
      </patternFill>
    </fill>
  </fills>
  <borders count="74">
    <border>
      <left/>
      <right/>
      <top/>
      <bottom/>
      <diagonal/>
    </border>
    <border>
      <left/>
      <right/>
      <top style="hair">
        <color rgb="FF000000"/>
      </top>
      <bottom style="hair">
        <color rgb="FF000000"/>
      </bottom>
      <diagonal/>
    </border>
    <border>
      <left/>
      <right/>
      <top style="dotted">
        <color rgb="FF000000"/>
      </top>
      <bottom style="dotted">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diagonal/>
    </border>
    <border>
      <left/>
      <right/>
      <top style="hair">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hair">
        <color rgb="FF000000"/>
      </bottom>
      <diagonal/>
    </border>
    <border>
      <left style="thin">
        <color rgb="FF1F3864"/>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rgb="FF1F3864"/>
      </right>
      <top style="thin">
        <color rgb="FFC0C0C0"/>
      </top>
      <bottom style="thin">
        <color rgb="FFC0C0C0"/>
      </bottom>
      <diagonal/>
    </border>
    <border>
      <left style="thin">
        <color rgb="FF1F3864"/>
      </left>
      <right style="thin">
        <color rgb="FFC0C0C0"/>
      </right>
      <top style="thin">
        <color rgb="FFC0C0C0"/>
      </top>
      <bottom style="thin">
        <color rgb="FF1F3864"/>
      </bottom>
      <diagonal/>
    </border>
    <border>
      <left style="thin">
        <color rgb="FFC0C0C0"/>
      </left>
      <right style="thin">
        <color rgb="FFC0C0C0"/>
      </right>
      <top style="thin">
        <color rgb="FFC0C0C0"/>
      </top>
      <bottom style="thin">
        <color rgb="FF1F3864"/>
      </bottom>
      <diagonal/>
    </border>
    <border>
      <left style="thin">
        <color rgb="FFC0C0C0"/>
      </left>
      <right style="thin">
        <color rgb="FF1F3864"/>
      </right>
      <top style="thin">
        <color rgb="FFC0C0C0"/>
      </top>
      <bottom style="thin">
        <color rgb="FF1F3864"/>
      </bottom>
      <diagonal/>
    </border>
    <border>
      <left style="thin">
        <color rgb="FF1F3864"/>
      </left>
      <right style="thin">
        <color rgb="FFC0C0C0"/>
      </right>
      <top style="thin">
        <color rgb="FF1F3864"/>
      </top>
      <bottom style="thin">
        <color rgb="FF1F3864"/>
      </bottom>
      <diagonal/>
    </border>
    <border>
      <left style="thin">
        <color rgb="FFC0C0C0"/>
      </left>
      <right style="thin">
        <color rgb="FFC0C0C0"/>
      </right>
      <top style="thin">
        <color rgb="FF1F3864"/>
      </top>
      <bottom style="thin">
        <color rgb="FF1F3864"/>
      </bottom>
      <diagonal/>
    </border>
    <border>
      <left style="thin">
        <color rgb="FFC0C0C0"/>
      </left>
      <right style="thin">
        <color rgb="FF1F3864"/>
      </right>
      <top style="thin">
        <color rgb="FF1F3864"/>
      </top>
      <bottom style="thin">
        <color rgb="FF1F38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double">
        <color rgb="FF000000"/>
      </top>
      <bottom style="double">
        <color rgb="FF000000"/>
      </bottom>
      <diagonal/>
    </border>
    <border>
      <left style="medium">
        <color rgb="FF000000"/>
      </left>
      <right style="medium">
        <color rgb="FF000000"/>
      </right>
      <top/>
      <bottom/>
      <diagonal/>
    </border>
    <border>
      <left/>
      <right/>
      <top/>
      <bottom style="dotted">
        <color rgb="FF000000"/>
      </bottom>
      <diagonal/>
    </border>
    <border>
      <left style="thin">
        <color auto="1"/>
      </left>
      <right style="thin">
        <color indexed="64"/>
      </right>
      <top style="thin">
        <color auto="1"/>
      </top>
      <bottom style="thin">
        <color auto="1"/>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auto="1"/>
      </bottom>
      <diagonal/>
    </border>
    <border>
      <left/>
      <right/>
      <top/>
      <bottom style="thin">
        <color rgb="FF1F3864"/>
      </bottom>
      <diagonal/>
    </border>
    <border>
      <left style="thin">
        <color rgb="FFD0D0D0"/>
      </left>
      <right style="thin">
        <color rgb="FFD0D0D0"/>
      </right>
      <top style="thin">
        <color rgb="FF1F3864"/>
      </top>
      <bottom style="thin">
        <color rgb="FFD0D0D0"/>
      </bottom>
      <diagonal/>
    </border>
    <border>
      <left style="thin">
        <color rgb="FF1F3864"/>
      </left>
      <right style="thin">
        <color rgb="FFD0D0D0"/>
      </right>
      <top style="thin">
        <color rgb="FF1F3864"/>
      </top>
      <bottom style="thin">
        <color rgb="FFD0D0D0"/>
      </bottom>
      <diagonal/>
    </border>
    <border>
      <left style="thin">
        <color rgb="FF1F3864"/>
      </left>
      <right style="thin">
        <color rgb="FFD0D0D0"/>
      </right>
      <top style="thin">
        <color rgb="FFD0D0D0"/>
      </top>
      <bottom style="thin">
        <color rgb="FFD0D0D0"/>
      </bottom>
      <diagonal/>
    </border>
    <border>
      <left style="thin">
        <color rgb="FF1F3864"/>
      </left>
      <right style="thin">
        <color rgb="FFD0D0D0"/>
      </right>
      <top style="thin">
        <color rgb="FFD0D0D0"/>
      </top>
      <bottom style="thin">
        <color auto="1"/>
      </bottom>
      <diagonal/>
    </border>
    <border>
      <left style="thin">
        <color rgb="FF1F3864"/>
      </left>
      <right/>
      <top/>
      <bottom/>
      <diagonal/>
    </border>
    <border>
      <left style="thin">
        <color rgb="FF1F3864"/>
      </left>
      <right/>
      <top/>
      <bottom style="thin">
        <color rgb="FF1F3864"/>
      </bottom>
      <diagonal/>
    </border>
    <border>
      <left style="thin">
        <color rgb="FFD0D0D0"/>
      </left>
      <right style="thin">
        <color rgb="FF1F3864"/>
      </right>
      <top style="thin">
        <color rgb="FF1F3864"/>
      </top>
      <bottom style="thin">
        <color rgb="FFD0D0D0"/>
      </bottom>
      <diagonal/>
    </border>
    <border>
      <left/>
      <right style="thin">
        <color rgb="FF1F3864"/>
      </right>
      <top/>
      <bottom style="thin">
        <color rgb="FF1F3864"/>
      </bottom>
      <diagonal/>
    </border>
    <border>
      <left style="thin">
        <color rgb="FFBFBFBF"/>
      </left>
      <right style="thin">
        <color rgb="FFBFBFBF"/>
      </right>
      <top style="thin">
        <color rgb="FFBFBFBF"/>
      </top>
      <bottom style="thin">
        <color rgb="FFBFBFBF"/>
      </bottom>
      <diagonal/>
    </border>
    <border>
      <left/>
      <right/>
      <top style="hair">
        <color rgb="FF000000"/>
      </top>
      <bottom style="thin">
        <color rgb="FF000000"/>
      </bottom>
      <diagonal/>
    </border>
    <border>
      <left style="thin">
        <color rgb="FFBFBFBF"/>
      </left>
      <right style="thin">
        <color rgb="FFBFBFBF"/>
      </right>
      <top style="medium">
        <color rgb="FF548235"/>
      </top>
      <bottom style="thin">
        <color rgb="FFBFBFBF"/>
      </bottom>
      <diagonal/>
    </border>
    <border>
      <left style="thin">
        <color rgb="FFBFBFBF"/>
      </left>
      <right style="thin">
        <color rgb="FFBFBFBF"/>
      </right>
      <top style="thin">
        <color rgb="FFBFBFBF"/>
      </top>
      <bottom style="medium">
        <color rgb="FF548235"/>
      </bottom>
      <diagonal/>
    </border>
    <border>
      <left style="medium">
        <color rgb="FF548235"/>
      </left>
      <right/>
      <top style="medium">
        <color rgb="FF548235"/>
      </top>
      <bottom/>
      <diagonal/>
    </border>
    <border>
      <left style="medium">
        <color rgb="FF548235"/>
      </left>
      <right/>
      <top/>
      <bottom/>
      <diagonal/>
    </border>
    <border>
      <left style="medium">
        <color rgb="FF548235"/>
      </left>
      <right/>
      <top/>
      <bottom style="medium">
        <color rgb="FF548235"/>
      </bottom>
      <diagonal/>
    </border>
    <border>
      <left style="thin">
        <color rgb="FFBFBFBF"/>
      </left>
      <right style="medium">
        <color rgb="FF548235"/>
      </right>
      <top style="medium">
        <color rgb="FF548235"/>
      </top>
      <bottom style="thin">
        <color rgb="FFBFBFBF"/>
      </bottom>
      <diagonal/>
    </border>
    <border>
      <left style="thin">
        <color rgb="FFBFBFBF"/>
      </left>
      <right style="medium">
        <color rgb="FF548235"/>
      </right>
      <top style="thin">
        <color rgb="FFBFBFBF"/>
      </top>
      <bottom style="thin">
        <color rgb="FFBFBFBF"/>
      </bottom>
      <diagonal/>
    </border>
    <border>
      <left style="thin">
        <color rgb="FFBFBFBF"/>
      </left>
      <right style="medium">
        <color rgb="FF548235"/>
      </right>
      <top style="thin">
        <color rgb="FFBFBFBF"/>
      </top>
      <bottom style="medium">
        <color rgb="FF548235"/>
      </bottom>
      <diagonal/>
    </border>
    <border>
      <left/>
      <right/>
      <top style="medium">
        <color rgb="FF808080"/>
      </top>
      <bottom/>
      <diagonal/>
    </border>
    <border>
      <left/>
      <right/>
      <top/>
      <bottom style="dotted">
        <color auto="1"/>
      </bottom>
      <diagonal/>
    </border>
    <border>
      <left/>
      <right/>
      <top style="hair">
        <color rgb="FF000000"/>
      </top>
      <bottom style="dotted">
        <color auto="1"/>
      </bottom>
      <diagonal/>
    </border>
    <border>
      <left/>
      <right/>
      <top style="dotted">
        <color auto="1"/>
      </top>
      <bottom style="dotted">
        <color auto="1"/>
      </bottom>
      <diagonal/>
    </border>
    <border>
      <left/>
      <right/>
      <top style="dotted">
        <color auto="1"/>
      </top>
      <bottom style="thin">
        <color rgb="FF000000"/>
      </bottom>
      <diagonal/>
    </border>
    <border>
      <left/>
      <right/>
      <top style="dotted">
        <color rgb="FF000000"/>
      </top>
      <bottom/>
      <diagonal/>
    </border>
  </borders>
  <cellStyleXfs count="9">
    <xf numFmtId="0" fontId="0" fillId="0" borderId="0"/>
    <xf numFmtId="43" fontId="35" fillId="0" borderId="0" applyFont="0" applyFill="0" applyBorder="0" applyAlignment="0" applyProtection="0"/>
    <xf numFmtId="0" fontId="38" fillId="0" borderId="12"/>
    <xf numFmtId="0" fontId="2" fillId="0" borderId="12"/>
    <xf numFmtId="0" fontId="54" fillId="0" borderId="12" applyNumberFormat="0" applyFill="0" applyBorder="0" applyProtection="0"/>
    <xf numFmtId="0" fontId="55" fillId="0" borderId="12"/>
    <xf numFmtId="0" fontId="35" fillId="0" borderId="12"/>
    <xf numFmtId="9" fontId="35" fillId="0" borderId="0" applyFont="0" applyFill="0" applyBorder="0" applyAlignment="0" applyProtection="0"/>
    <xf numFmtId="0" fontId="183" fillId="0" borderId="0" applyNumberFormat="0" applyFill="0" applyBorder="0" applyAlignment="0" applyProtection="0"/>
  </cellStyleXfs>
  <cellXfs count="946">
    <xf numFmtId="0" fontId="0" fillId="0" borderId="0" xfId="0"/>
    <xf numFmtId="0" fontId="3" fillId="0" borderId="0" xfId="0" applyFont="1" applyAlignment="1">
      <alignment horizontal="center"/>
    </xf>
    <xf numFmtId="0" fontId="5" fillId="3" borderId="1" xfId="0" applyFont="1" applyFill="1" applyBorder="1"/>
    <xf numFmtId="0" fontId="8" fillId="2" borderId="1" xfId="0" applyFont="1" applyFill="1" applyBorder="1" applyAlignment="1">
      <alignment horizontal="center"/>
    </xf>
    <xf numFmtId="0" fontId="5" fillId="0" borderId="0" xfId="0" applyFont="1"/>
    <xf numFmtId="0" fontId="4" fillId="0" borderId="0" xfId="0" applyFont="1"/>
    <xf numFmtId="0" fontId="4" fillId="0" borderId="3" xfId="0" applyFont="1" applyBorder="1"/>
    <xf numFmtId="0" fontId="5" fillId="0" borderId="4" xfId="0" applyFont="1" applyBorder="1"/>
    <xf numFmtId="0" fontId="3" fillId="0" borderId="0" xfId="0" applyFont="1"/>
    <xf numFmtId="0" fontId="5" fillId="0" borderId="0" xfId="0" applyFont="1" applyAlignment="1">
      <alignment horizontal="center"/>
    </xf>
    <xf numFmtId="0" fontId="12" fillId="0" borderId="0" xfId="0" applyFont="1"/>
    <xf numFmtId="0" fontId="10" fillId="0" borderId="0" xfId="0" applyFont="1"/>
    <xf numFmtId="0" fontId="4" fillId="0" borderId="10" xfId="0" applyFont="1" applyBorder="1"/>
    <xf numFmtId="0" fontId="4" fillId="0" borderId="11" xfId="0" applyFont="1" applyBorder="1"/>
    <xf numFmtId="164" fontId="5" fillId="0" borderId="0" xfId="0" applyNumberFormat="1" applyFont="1"/>
    <xf numFmtId="0" fontId="4" fillId="9" borderId="18" xfId="0" applyFont="1" applyFill="1" applyBorder="1"/>
    <xf numFmtId="0" fontId="5" fillId="9" borderId="18" xfId="0" applyFont="1" applyFill="1" applyBorder="1"/>
    <xf numFmtId="0" fontId="17" fillId="0" borderId="0" xfId="0" applyFont="1"/>
    <xf numFmtId="0" fontId="20" fillId="10" borderId="0" xfId="0" applyFont="1" applyFill="1"/>
    <xf numFmtId="0" fontId="23" fillId="0" borderId="0" xfId="0" applyFont="1"/>
    <xf numFmtId="0" fontId="0" fillId="0" borderId="0" xfId="0" applyAlignment="1">
      <alignment horizontal="center"/>
    </xf>
    <xf numFmtId="0" fontId="24" fillId="12" borderId="0" xfId="0" applyFont="1" applyFill="1"/>
    <xf numFmtId="0" fontId="0" fillId="13" borderId="0" xfId="0" applyFill="1"/>
    <xf numFmtId="0" fontId="0" fillId="14" borderId="0" xfId="0" applyFill="1"/>
    <xf numFmtId="0" fontId="15" fillId="14" borderId="0" xfId="0" applyFont="1" applyFill="1"/>
    <xf numFmtId="0" fontId="19" fillId="12" borderId="0" xfId="0" applyFont="1" applyFill="1"/>
    <xf numFmtId="0" fontId="26" fillId="10" borderId="0" xfId="0" applyFont="1" applyFill="1"/>
    <xf numFmtId="0" fontId="26" fillId="0" borderId="0" xfId="0" applyFont="1"/>
    <xf numFmtId="0" fontId="19" fillId="11" borderId="0" xfId="0" applyFont="1" applyFill="1"/>
    <xf numFmtId="0" fontId="5" fillId="13" borderId="1" xfId="0" applyFont="1" applyFill="1" applyBorder="1"/>
    <xf numFmtId="0" fontId="8" fillId="13" borderId="1" xfId="0" applyFont="1" applyFill="1" applyBorder="1" applyAlignment="1">
      <alignment horizontal="center"/>
    </xf>
    <xf numFmtId="0" fontId="5" fillId="14" borderId="1" xfId="0" applyFont="1" applyFill="1" applyBorder="1"/>
    <xf numFmtId="0" fontId="8" fillId="14" borderId="1" xfId="0" applyFont="1" applyFill="1" applyBorder="1" applyAlignment="1">
      <alignment horizontal="center"/>
    </xf>
    <xf numFmtId="0" fontId="27" fillId="11" borderId="3" xfId="0" applyFont="1" applyFill="1" applyBorder="1"/>
    <xf numFmtId="0" fontId="27" fillId="11" borderId="5" xfId="0" applyFont="1" applyFill="1" applyBorder="1"/>
    <xf numFmtId="0" fontId="27" fillId="11" borderId="4" xfId="0" applyFont="1" applyFill="1" applyBorder="1"/>
    <xf numFmtId="0" fontId="4" fillId="14" borderId="0" xfId="0" applyFont="1" applyFill="1"/>
    <xf numFmtId="0" fontId="4" fillId="14" borderId="0" xfId="0" applyFont="1" applyFill="1" applyAlignment="1">
      <alignment horizontal="center"/>
    </xf>
    <xf numFmtId="0" fontId="32" fillId="11" borderId="0" xfId="0" applyFont="1" applyFill="1"/>
    <xf numFmtId="0" fontId="27" fillId="12" borderId="0" xfId="0" applyFont="1" applyFill="1"/>
    <xf numFmtId="20" fontId="5" fillId="13" borderId="1" xfId="0" applyNumberFormat="1" applyFont="1" applyFill="1" applyBorder="1"/>
    <xf numFmtId="20" fontId="5" fillId="14" borderId="1" xfId="0" applyNumberFormat="1" applyFont="1" applyFill="1" applyBorder="1"/>
    <xf numFmtId="16" fontId="8" fillId="13" borderId="1" xfId="0" applyNumberFormat="1" applyFont="1" applyFill="1" applyBorder="1"/>
    <xf numFmtId="0" fontId="8" fillId="13" borderId="1" xfId="0" applyFont="1" applyFill="1" applyBorder="1"/>
    <xf numFmtId="49" fontId="8" fillId="13" borderId="1" xfId="0" applyNumberFormat="1" applyFont="1" applyFill="1" applyBorder="1"/>
    <xf numFmtId="16" fontId="8" fillId="14" borderId="1" xfId="0" applyNumberFormat="1" applyFont="1" applyFill="1" applyBorder="1"/>
    <xf numFmtId="0" fontId="8" fillId="14" borderId="1" xfId="0" applyFont="1" applyFill="1" applyBorder="1"/>
    <xf numFmtId="49" fontId="8" fillId="14" borderId="1" xfId="0" applyNumberFormat="1" applyFont="1" applyFill="1" applyBorder="1"/>
    <xf numFmtId="165" fontId="8" fillId="13" borderId="1" xfId="0" applyNumberFormat="1" applyFont="1" applyFill="1" applyBorder="1"/>
    <xf numFmtId="165" fontId="8" fillId="14" borderId="1" xfId="0" applyNumberFormat="1" applyFont="1" applyFill="1" applyBorder="1"/>
    <xf numFmtId="0" fontId="0" fillId="15" borderId="0" xfId="0" applyFill="1"/>
    <xf numFmtId="0" fontId="0" fillId="16" borderId="0" xfId="0" applyFill="1"/>
    <xf numFmtId="0" fontId="0" fillId="17" borderId="0" xfId="0" applyFill="1"/>
    <xf numFmtId="0" fontId="0" fillId="18" borderId="0" xfId="0" applyFill="1"/>
    <xf numFmtId="0" fontId="25" fillId="11" borderId="0" xfId="0" applyFont="1" applyFill="1"/>
    <xf numFmtId="0" fontId="38" fillId="0" borderId="12" xfId="2" applyAlignment="1">
      <alignment horizontal="left" vertical="top"/>
    </xf>
    <xf numFmtId="0" fontId="43" fillId="0" borderId="12" xfId="2" applyFont="1" applyAlignment="1">
      <alignment horizontal="left" vertical="center" wrapText="1"/>
    </xf>
    <xf numFmtId="0" fontId="43" fillId="0" borderId="12" xfId="2" applyFont="1" applyAlignment="1">
      <alignment horizontal="left" wrapText="1"/>
    </xf>
    <xf numFmtId="0" fontId="46" fillId="0" borderId="38" xfId="2" applyFont="1" applyBorder="1" applyAlignment="1">
      <alignment horizontal="right" vertical="top" wrapText="1"/>
    </xf>
    <xf numFmtId="0" fontId="47" fillId="0" borderId="38" xfId="2" applyFont="1" applyBorder="1" applyAlignment="1">
      <alignment horizontal="center" vertical="top" shrinkToFit="1"/>
    </xf>
    <xf numFmtId="0" fontId="47" fillId="0" borderId="38" xfId="2" applyFont="1" applyBorder="1" applyAlignment="1">
      <alignment horizontal="right" vertical="center" wrapText="1"/>
    </xf>
    <xf numFmtId="1" fontId="47" fillId="0" borderId="38" xfId="2" applyNumberFormat="1" applyFont="1" applyBorder="1" applyAlignment="1">
      <alignment horizontal="center" vertical="top" shrinkToFit="1"/>
    </xf>
    <xf numFmtId="0" fontId="47" fillId="0" borderId="12" xfId="2" applyFont="1" applyAlignment="1">
      <alignment horizontal="left" wrapText="1"/>
    </xf>
    <xf numFmtId="0" fontId="47" fillId="0" borderId="32" xfId="2" applyFont="1" applyBorder="1" applyAlignment="1">
      <alignment horizontal="right" vertical="center" wrapText="1"/>
    </xf>
    <xf numFmtId="0" fontId="46" fillId="0" borderId="38" xfId="2" applyFont="1" applyBorder="1" applyAlignment="1">
      <alignment horizontal="center" vertical="top" shrinkToFit="1"/>
    </xf>
    <xf numFmtId="0" fontId="47" fillId="0" borderId="41" xfId="2" applyFont="1" applyBorder="1" applyAlignment="1">
      <alignment horizontal="right" vertical="center" wrapText="1"/>
    </xf>
    <xf numFmtId="0" fontId="44" fillId="0" borderId="38" xfId="2" applyFont="1" applyBorder="1" applyAlignment="1">
      <alignment horizontal="center" vertical="top" wrapText="1"/>
    </xf>
    <xf numFmtId="0" fontId="44" fillId="0" borderId="38" xfId="2" applyFont="1" applyBorder="1" applyAlignment="1">
      <alignment horizontal="left" vertical="top" wrapText="1"/>
    </xf>
    <xf numFmtId="0" fontId="43" fillId="0" borderId="12" xfId="2" applyFont="1" applyAlignment="1">
      <alignment horizontal="left" vertical="top" wrapText="1"/>
    </xf>
    <xf numFmtId="0" fontId="51" fillId="0" borderId="12" xfId="2" applyFont="1" applyAlignment="1">
      <alignment horizontal="center" wrapText="1"/>
    </xf>
    <xf numFmtId="0" fontId="2" fillId="0" borderId="12" xfId="3"/>
    <xf numFmtId="0" fontId="2" fillId="0" borderId="12" xfId="3" applyAlignment="1">
      <alignment horizontal="center"/>
    </xf>
    <xf numFmtId="0" fontId="6" fillId="0" borderId="12" xfId="6" applyFont="1"/>
    <xf numFmtId="0" fontId="35" fillId="0" borderId="12" xfId="6"/>
    <xf numFmtId="0" fontId="6" fillId="0" borderId="14" xfId="6" applyFont="1" applyBorder="1"/>
    <xf numFmtId="166" fontId="6" fillId="22" borderId="12" xfId="6" applyNumberFormat="1" applyFont="1" applyFill="1" applyAlignment="1">
      <alignment horizontal="right"/>
    </xf>
    <xf numFmtId="0" fontId="58" fillId="0" borderId="12" xfId="6" applyFont="1"/>
    <xf numFmtId="164" fontId="6" fillId="0" borderId="12" xfId="6" applyNumberFormat="1" applyFont="1"/>
    <xf numFmtId="166" fontId="59" fillId="22" borderId="12" xfId="6" applyNumberFormat="1" applyFont="1" applyFill="1" applyAlignment="1">
      <alignment horizontal="right"/>
    </xf>
    <xf numFmtId="166" fontId="7" fillId="2" borderId="42" xfId="6" applyNumberFormat="1" applyFont="1" applyFill="1" applyBorder="1" applyAlignment="1">
      <alignment horizontal="right"/>
    </xf>
    <xf numFmtId="166" fontId="6" fillId="0" borderId="12" xfId="6" applyNumberFormat="1" applyFont="1"/>
    <xf numFmtId="0" fontId="57" fillId="8" borderId="14" xfId="6" applyFont="1" applyFill="1" applyBorder="1"/>
    <xf numFmtId="0" fontId="60" fillId="22" borderId="12" xfId="6" applyFont="1" applyFill="1"/>
    <xf numFmtId="0" fontId="6" fillId="0" borderId="16" xfId="6" applyFont="1" applyBorder="1"/>
    <xf numFmtId="0" fontId="6" fillId="0" borderId="18" xfId="6" applyFont="1" applyBorder="1"/>
    <xf numFmtId="166" fontId="6" fillId="2" borderId="42" xfId="6" applyNumberFormat="1" applyFont="1" applyFill="1" applyBorder="1" applyAlignment="1">
      <alignment horizontal="right"/>
    </xf>
    <xf numFmtId="0" fontId="57" fillId="8" borderId="12" xfId="6" applyFont="1" applyFill="1"/>
    <xf numFmtId="166" fontId="7" fillId="2" borderId="12" xfId="6" applyNumberFormat="1" applyFont="1" applyFill="1" applyAlignment="1">
      <alignment horizontal="right"/>
    </xf>
    <xf numFmtId="44" fontId="6" fillId="22" borderId="12" xfId="6" applyNumberFormat="1" applyFont="1" applyFill="1"/>
    <xf numFmtId="0" fontId="6" fillId="22" borderId="14" xfId="6" applyFont="1" applyFill="1" applyBorder="1"/>
    <xf numFmtId="0" fontId="57" fillId="0" borderId="14" xfId="6" applyFont="1" applyBorder="1"/>
    <xf numFmtId="0" fontId="57" fillId="0" borderId="12" xfId="6" applyFont="1"/>
    <xf numFmtId="0" fontId="57" fillId="23" borderId="16" xfId="6" applyFont="1" applyFill="1" applyBorder="1"/>
    <xf numFmtId="164" fontId="6" fillId="23" borderId="18" xfId="6" applyNumberFormat="1" applyFont="1" applyFill="1" applyBorder="1"/>
    <xf numFmtId="0" fontId="57" fillId="0" borderId="43" xfId="6" applyFont="1" applyBorder="1"/>
    <xf numFmtId="164" fontId="6" fillId="0" borderId="43" xfId="6" applyNumberFormat="1" applyFont="1" applyBorder="1"/>
    <xf numFmtId="166" fontId="61" fillId="0" borderId="43" xfId="6" applyNumberFormat="1" applyFont="1" applyBorder="1" applyAlignment="1">
      <alignment horizontal="right"/>
    </xf>
    <xf numFmtId="0" fontId="62" fillId="0" borderId="12" xfId="6" applyFont="1"/>
    <xf numFmtId="0" fontId="63" fillId="0" borderId="12" xfId="6" applyFont="1"/>
    <xf numFmtId="0" fontId="64" fillId="0" borderId="12" xfId="6" applyFont="1"/>
    <xf numFmtId="0" fontId="63" fillId="0" borderId="12" xfId="6" applyFont="1" applyAlignment="1">
      <alignment horizontal="left"/>
    </xf>
    <xf numFmtId="166" fontId="16" fillId="2" borderId="12" xfId="6" applyNumberFormat="1" applyFont="1" applyFill="1"/>
    <xf numFmtId="0" fontId="65" fillId="0" borderId="12" xfId="6" applyFont="1" applyAlignment="1">
      <alignment horizontal="left"/>
    </xf>
    <xf numFmtId="164" fontId="57" fillId="0" borderId="12" xfId="6" applyNumberFormat="1" applyFont="1"/>
    <xf numFmtId="0" fontId="63" fillId="22" borderId="12" xfId="6" applyFont="1" applyFill="1"/>
    <xf numFmtId="0" fontId="57" fillId="0" borderId="15" xfId="6" applyFont="1" applyBorder="1"/>
    <xf numFmtId="0" fontId="57" fillId="0" borderId="18" xfId="6" applyFont="1" applyBorder="1"/>
    <xf numFmtId="0" fontId="6" fillId="0" borderId="15" xfId="6" applyFont="1" applyBorder="1"/>
    <xf numFmtId="0" fontId="5" fillId="0" borderId="12" xfId="6" applyFont="1" applyAlignment="1">
      <alignment horizontal="center"/>
    </xf>
    <xf numFmtId="0" fontId="4" fillId="0" borderId="12" xfId="6" applyFont="1"/>
    <xf numFmtId="0" fontId="4" fillId="0" borderId="12" xfId="6" applyFont="1" applyAlignment="1">
      <alignment horizontal="center"/>
    </xf>
    <xf numFmtId="0" fontId="18" fillId="0" borderId="12" xfId="6" applyFont="1"/>
    <xf numFmtId="0" fontId="13" fillId="24" borderId="12" xfId="6" applyFont="1" applyFill="1"/>
    <xf numFmtId="0" fontId="8" fillId="0" borderId="12" xfId="6" applyFont="1"/>
    <xf numFmtId="0" fontId="5" fillId="0" borderId="12" xfId="6" applyFont="1"/>
    <xf numFmtId="44" fontId="8" fillId="2" borderId="12" xfId="6" applyNumberFormat="1" applyFont="1" applyFill="1"/>
    <xf numFmtId="44" fontId="5" fillId="0" borderId="12" xfId="6" applyNumberFormat="1" applyFont="1"/>
    <xf numFmtId="9" fontId="5" fillId="0" borderId="12" xfId="6" applyNumberFormat="1" applyFont="1"/>
    <xf numFmtId="0" fontId="5" fillId="25" borderId="12" xfId="6" applyFont="1" applyFill="1"/>
    <xf numFmtId="0" fontId="8" fillId="2" borderId="12" xfId="6" applyFont="1" applyFill="1" applyAlignment="1">
      <alignment horizontal="center"/>
    </xf>
    <xf numFmtId="0" fontId="11" fillId="8" borderId="37" xfId="6" applyFont="1" applyFill="1" applyBorder="1"/>
    <xf numFmtId="0" fontId="11" fillId="8" borderId="44" xfId="6" applyFont="1" applyFill="1" applyBorder="1"/>
    <xf numFmtId="0" fontId="11" fillId="8" borderId="39" xfId="6" applyFont="1" applyFill="1" applyBorder="1"/>
    <xf numFmtId="44" fontId="4" fillId="0" borderId="12" xfId="6" applyNumberFormat="1" applyFont="1"/>
    <xf numFmtId="0" fontId="4" fillId="0" borderId="18" xfId="6" applyFont="1" applyBorder="1"/>
    <xf numFmtId="0" fontId="4" fillId="0" borderId="18" xfId="6" applyFont="1" applyBorder="1" applyAlignment="1">
      <alignment horizontal="center"/>
    </xf>
    <xf numFmtId="44" fontId="4" fillId="0" borderId="18" xfId="6" applyNumberFormat="1" applyFont="1" applyBorder="1"/>
    <xf numFmtId="0" fontId="5" fillId="0" borderId="18" xfId="6" applyFont="1" applyBorder="1"/>
    <xf numFmtId="0" fontId="9" fillId="0" borderId="12" xfId="6" applyFont="1"/>
    <xf numFmtId="0" fontId="9" fillId="0" borderId="12" xfId="6" applyFont="1" applyAlignment="1">
      <alignment horizontal="center"/>
    </xf>
    <xf numFmtId="0" fontId="5" fillId="25" borderId="12" xfId="6" applyFont="1" applyFill="1" applyAlignment="1">
      <alignment horizontal="center"/>
    </xf>
    <xf numFmtId="0" fontId="9" fillId="7" borderId="12" xfId="6" applyFont="1" applyFill="1"/>
    <xf numFmtId="0" fontId="13" fillId="26" borderId="12" xfId="6" applyFont="1" applyFill="1"/>
    <xf numFmtId="0" fontId="13" fillId="27" borderId="12" xfId="6" applyFont="1" applyFill="1"/>
    <xf numFmtId="0" fontId="5" fillId="0" borderId="45" xfId="6" applyFont="1" applyBorder="1"/>
    <xf numFmtId="0" fontId="5" fillId="0" borderId="2" xfId="6" applyFont="1" applyBorder="1"/>
    <xf numFmtId="0" fontId="13" fillId="5" borderId="12" xfId="6" applyFont="1" applyFill="1"/>
    <xf numFmtId="0" fontId="66" fillId="5" borderId="12" xfId="6" applyFont="1" applyFill="1"/>
    <xf numFmtId="44" fontId="66" fillId="5" borderId="12" xfId="6" applyNumberFormat="1" applyFont="1" applyFill="1"/>
    <xf numFmtId="0" fontId="4" fillId="28" borderId="12" xfId="6" applyFont="1" applyFill="1"/>
    <xf numFmtId="0" fontId="5" fillId="0" borderId="45" xfId="6" applyFont="1" applyBorder="1" applyAlignment="1">
      <alignment horizontal="center" vertical="center" wrapText="1"/>
    </xf>
    <xf numFmtId="44" fontId="8" fillId="0" borderId="45" xfId="6" applyNumberFormat="1" applyFont="1" applyBorder="1" applyAlignment="1">
      <alignment horizontal="center" vertical="center"/>
    </xf>
    <xf numFmtId="0" fontId="5" fillId="0" borderId="45" xfId="6" applyFont="1" applyBorder="1" applyAlignment="1">
      <alignment horizontal="center" vertical="center"/>
    </xf>
    <xf numFmtId="0" fontId="5" fillId="0" borderId="2" xfId="6" applyFont="1" applyBorder="1" applyAlignment="1">
      <alignment horizontal="center" vertical="center" wrapText="1"/>
    </xf>
    <xf numFmtId="44" fontId="8" fillId="0" borderId="2" xfId="6" applyNumberFormat="1" applyFont="1" applyBorder="1" applyAlignment="1">
      <alignment horizontal="center" vertical="center"/>
    </xf>
    <xf numFmtId="0" fontId="5" fillId="0" borderId="2" xfId="6" applyFont="1" applyBorder="1" applyAlignment="1">
      <alignment horizontal="center" vertical="center"/>
    </xf>
    <xf numFmtId="0" fontId="4" fillId="8" borderId="12" xfId="6" applyFont="1" applyFill="1" applyAlignment="1">
      <alignment horizontal="center" vertical="center" wrapText="1"/>
    </xf>
    <xf numFmtId="0" fontId="4" fillId="8" borderId="12" xfId="6" applyFont="1" applyFill="1" applyAlignment="1">
      <alignment horizontal="center" vertical="center"/>
    </xf>
    <xf numFmtId="0" fontId="5" fillId="0" borderId="12" xfId="6" applyFont="1" applyAlignment="1">
      <alignment horizontal="center" vertical="center" wrapText="1"/>
    </xf>
    <xf numFmtId="44" fontId="8" fillId="0" borderId="12" xfId="6" applyNumberFormat="1" applyFont="1" applyAlignment="1">
      <alignment horizontal="center" vertical="center"/>
    </xf>
    <xf numFmtId="0" fontId="5" fillId="0" borderId="12" xfId="6" applyFont="1" applyAlignment="1">
      <alignment horizontal="center" vertical="center"/>
    </xf>
    <xf numFmtId="0" fontId="8" fillId="0" borderId="45" xfId="6" applyFont="1" applyBorder="1" applyAlignment="1">
      <alignment horizontal="center" vertical="center"/>
    </xf>
    <xf numFmtId="0" fontId="8" fillId="0" borderId="2" xfId="6" applyFont="1" applyBorder="1" applyAlignment="1">
      <alignment horizontal="center" vertical="center"/>
    </xf>
    <xf numFmtId="0" fontId="67" fillId="0" borderId="2" xfId="6" applyFont="1" applyBorder="1" applyAlignment="1">
      <alignment horizontal="center" vertical="center" wrapText="1"/>
    </xf>
    <xf numFmtId="0" fontId="9" fillId="0" borderId="2" xfId="6" applyFont="1" applyBorder="1" applyAlignment="1">
      <alignment horizontal="center" vertical="center"/>
    </xf>
    <xf numFmtId="44" fontId="8" fillId="0" borderId="12" xfId="6" applyNumberFormat="1" applyFont="1"/>
    <xf numFmtId="0" fontId="68" fillId="0" borderId="0" xfId="0" applyFont="1"/>
    <xf numFmtId="0" fontId="70" fillId="0" borderId="0" xfId="0" applyFont="1"/>
    <xf numFmtId="0" fontId="19" fillId="11" borderId="0" xfId="0" applyFont="1" applyFill="1" applyAlignment="1">
      <alignment horizontal="center"/>
    </xf>
    <xf numFmtId="166" fontId="0" fillId="0" borderId="0" xfId="0" applyNumberFormat="1"/>
    <xf numFmtId="0" fontId="15" fillId="30" borderId="0" xfId="0" applyFont="1" applyFill="1"/>
    <xf numFmtId="0" fontId="15" fillId="31" borderId="0" xfId="0" applyFont="1" applyFill="1"/>
    <xf numFmtId="0" fontId="0" fillId="32" borderId="0" xfId="0" applyFill="1"/>
    <xf numFmtId="0" fontId="24" fillId="11" borderId="29" xfId="0" applyFont="1" applyFill="1" applyBorder="1" applyAlignment="1">
      <alignment horizontal="center" vertical="center"/>
    </xf>
    <xf numFmtId="0" fontId="24" fillId="11" borderId="30" xfId="0" applyFont="1" applyFill="1" applyBorder="1" applyAlignment="1">
      <alignment horizontal="center" vertical="center"/>
    </xf>
    <xf numFmtId="0" fontId="24" fillId="11" borderId="31" xfId="0" applyFont="1" applyFill="1" applyBorder="1" applyAlignment="1">
      <alignment horizontal="center" vertical="center"/>
    </xf>
    <xf numFmtId="0" fontId="26" fillId="30" borderId="0" xfId="0" applyFont="1" applyFill="1"/>
    <xf numFmtId="0" fontId="28" fillId="11" borderId="32" xfId="6" applyFont="1" applyFill="1" applyBorder="1"/>
    <xf numFmtId="164" fontId="28" fillId="11" borderId="33" xfId="6" applyNumberFormat="1" applyFont="1" applyFill="1" applyBorder="1" applyAlignment="1">
      <alignment horizontal="center"/>
    </xf>
    <xf numFmtId="164" fontId="28" fillId="11" borderId="34" xfId="6" applyNumberFormat="1" applyFont="1" applyFill="1" applyBorder="1" applyAlignment="1">
      <alignment horizontal="center"/>
    </xf>
    <xf numFmtId="0" fontId="28" fillId="11" borderId="38" xfId="6" applyFont="1" applyFill="1" applyBorder="1" applyAlignment="1">
      <alignment horizontal="center"/>
    </xf>
    <xf numFmtId="0" fontId="71" fillId="12" borderId="12" xfId="2" applyFont="1" applyFill="1" applyAlignment="1">
      <alignment horizontal="left" vertical="top"/>
    </xf>
    <xf numFmtId="0" fontId="71" fillId="11" borderId="12" xfId="2" applyFont="1" applyFill="1" applyAlignment="1">
      <alignment horizontal="left" vertical="top"/>
    </xf>
    <xf numFmtId="0" fontId="47" fillId="14" borderId="38" xfId="2" applyFont="1" applyFill="1" applyBorder="1" applyAlignment="1">
      <alignment horizontal="center" vertical="top" shrinkToFit="1"/>
    </xf>
    <xf numFmtId="0" fontId="48" fillId="14" borderId="38" xfId="2" applyFont="1" applyFill="1" applyBorder="1" applyAlignment="1">
      <alignment horizontal="right" vertical="center" wrapText="1"/>
    </xf>
    <xf numFmtId="0" fontId="47" fillId="14" borderId="38" xfId="2" applyFont="1" applyFill="1" applyBorder="1" applyAlignment="1">
      <alignment horizontal="right" vertical="center" wrapText="1"/>
    </xf>
    <xf numFmtId="1" fontId="47" fillId="14" borderId="38" xfId="2" applyNumberFormat="1" applyFont="1" applyFill="1" applyBorder="1" applyAlignment="1">
      <alignment horizontal="center" vertical="top" shrinkToFit="1"/>
    </xf>
    <xf numFmtId="0" fontId="47" fillId="13" borderId="38" xfId="2" applyFont="1" applyFill="1" applyBorder="1" applyAlignment="1">
      <alignment horizontal="center" vertical="top" shrinkToFit="1"/>
    </xf>
    <xf numFmtId="0" fontId="48" fillId="13" borderId="38" xfId="2" applyFont="1" applyFill="1" applyBorder="1" applyAlignment="1">
      <alignment horizontal="right" vertical="center" wrapText="1"/>
    </xf>
    <xf numFmtId="0" fontId="47" fillId="13" borderId="38" xfId="2" applyFont="1" applyFill="1" applyBorder="1" applyAlignment="1">
      <alignment horizontal="right" vertical="center" wrapText="1"/>
    </xf>
    <xf numFmtId="1" fontId="47" fillId="13" borderId="38" xfId="2" applyNumberFormat="1" applyFont="1" applyFill="1" applyBorder="1" applyAlignment="1">
      <alignment horizontal="center" vertical="top" shrinkToFit="1"/>
    </xf>
    <xf numFmtId="1" fontId="48" fillId="13" borderId="38" xfId="2" applyNumberFormat="1" applyFont="1" applyFill="1" applyBorder="1" applyAlignment="1">
      <alignment horizontal="right" vertical="center" shrinkToFit="1"/>
    </xf>
    <xf numFmtId="0" fontId="47" fillId="14" borderId="38" xfId="2" applyFont="1" applyFill="1" applyBorder="1" applyAlignment="1">
      <alignment horizontal="left" vertical="center" wrapText="1"/>
    </xf>
    <xf numFmtId="1" fontId="48" fillId="14" borderId="38" xfId="2" applyNumberFormat="1" applyFont="1" applyFill="1" applyBorder="1" applyAlignment="1">
      <alignment horizontal="right" vertical="center" shrinkToFit="1"/>
    </xf>
    <xf numFmtId="0" fontId="75" fillId="0" borderId="0" xfId="0" applyFont="1"/>
    <xf numFmtId="164" fontId="75" fillId="0" borderId="0" xfId="0" applyNumberFormat="1" applyFont="1"/>
    <xf numFmtId="0" fontId="55" fillId="13" borderId="1" xfId="0" applyFont="1" applyFill="1" applyBorder="1" applyAlignment="1">
      <alignment horizontal="center" wrapText="1"/>
    </xf>
    <xf numFmtId="0" fontId="55" fillId="14" borderId="1" xfId="0" applyFont="1" applyFill="1" applyBorder="1" applyAlignment="1">
      <alignment horizontal="center" wrapText="1"/>
    </xf>
    <xf numFmtId="0" fontId="79" fillId="13" borderId="0" xfId="0" applyFont="1" applyFill="1"/>
    <xf numFmtId="0" fontId="79" fillId="13" borderId="0" xfId="0" applyFont="1" applyFill="1" applyAlignment="1">
      <alignment horizontal="center"/>
    </xf>
    <xf numFmtId="0" fontId="79" fillId="14" borderId="0" xfId="0" applyFont="1" applyFill="1"/>
    <xf numFmtId="0" fontId="79" fillId="14" borderId="0" xfId="0" applyFont="1" applyFill="1" applyAlignment="1">
      <alignment horizontal="center"/>
    </xf>
    <xf numFmtId="0" fontId="79" fillId="0" borderId="0" xfId="0" applyFont="1"/>
    <xf numFmtId="0" fontId="79" fillId="0" borderId="0" xfId="0" applyFont="1" applyAlignment="1">
      <alignment horizontal="center"/>
    </xf>
    <xf numFmtId="0" fontId="80" fillId="0" borderId="0" xfId="0" applyFont="1"/>
    <xf numFmtId="0" fontId="76" fillId="12" borderId="0" xfId="0" applyFont="1" applyFill="1"/>
    <xf numFmtId="0" fontId="80" fillId="14" borderId="0" xfId="0" applyFont="1" applyFill="1"/>
    <xf numFmtId="0" fontId="80" fillId="15" borderId="0" xfId="0" applyFont="1" applyFill="1"/>
    <xf numFmtId="0" fontId="80" fillId="16" borderId="0" xfId="0" applyFont="1" applyFill="1"/>
    <xf numFmtId="0" fontId="80" fillId="17" borderId="0" xfId="0" applyFont="1" applyFill="1"/>
    <xf numFmtId="0" fontId="80" fillId="13" borderId="0" xfId="0" applyFont="1" applyFill="1"/>
    <xf numFmtId="0" fontId="85" fillId="0" borderId="36" xfId="2" applyFont="1" applyBorder="1" applyAlignment="1">
      <alignment horizontal="left" vertical="top" wrapText="1"/>
    </xf>
    <xf numFmtId="0" fontId="85" fillId="0" borderId="36" xfId="2" applyFont="1" applyBorder="1" applyAlignment="1">
      <alignment horizontal="center" vertical="top" wrapText="1"/>
    </xf>
    <xf numFmtId="0" fontId="85" fillId="0" borderId="36" xfId="2" applyFont="1" applyBorder="1" applyAlignment="1">
      <alignment horizontal="center" vertical="center" wrapText="1"/>
    </xf>
    <xf numFmtId="0" fontId="45" fillId="0" borderId="34" xfId="2" applyFont="1" applyBorder="1" applyAlignment="1">
      <alignment horizontal="left" vertical="center" wrapText="1"/>
    </xf>
    <xf numFmtId="0" fontId="45" fillId="0" borderId="38" xfId="2" applyFont="1" applyBorder="1" applyAlignment="1">
      <alignment horizontal="left" vertical="top" wrapText="1"/>
    </xf>
    <xf numFmtId="0" fontId="48" fillId="14" borderId="38" xfId="2" applyFont="1" applyFill="1" applyBorder="1" applyAlignment="1">
      <alignment horizontal="right" vertical="top" wrapText="1"/>
    </xf>
    <xf numFmtId="0" fontId="48" fillId="13" borderId="38" xfId="2" applyFont="1" applyFill="1" applyBorder="1" applyAlignment="1">
      <alignment horizontal="right" vertical="top" wrapText="1"/>
    </xf>
    <xf numFmtId="0" fontId="47" fillId="14" borderId="38" xfId="2" applyFont="1" applyFill="1" applyBorder="1" applyAlignment="1">
      <alignment horizontal="right" vertical="top" wrapText="1"/>
    </xf>
    <xf numFmtId="0" fontId="86" fillId="0" borderId="12" xfId="2" applyFont="1" applyAlignment="1">
      <alignment horizontal="left" vertical="top"/>
    </xf>
    <xf numFmtId="166" fontId="89" fillId="29" borderId="0" xfId="0" applyNumberFormat="1" applyFont="1" applyFill="1" applyAlignment="1">
      <alignment horizontal="center"/>
    </xf>
    <xf numFmtId="167" fontId="89" fillId="29" borderId="0" xfId="0" applyNumberFormat="1" applyFont="1" applyFill="1" applyAlignment="1">
      <alignment horizontal="center"/>
    </xf>
    <xf numFmtId="166" fontId="80" fillId="12" borderId="0" xfId="0" applyNumberFormat="1" applyFont="1" applyFill="1"/>
    <xf numFmtId="166" fontId="80" fillId="0" borderId="0" xfId="0" applyNumberFormat="1" applyFont="1"/>
    <xf numFmtId="166" fontId="76" fillId="30" borderId="0" xfId="0" applyNumberFormat="1" applyFont="1" applyFill="1"/>
    <xf numFmtId="166" fontId="78" fillId="22" borderId="12" xfId="6" applyNumberFormat="1" applyFont="1" applyFill="1" applyAlignment="1">
      <alignment horizontal="right"/>
    </xf>
    <xf numFmtId="166" fontId="78" fillId="2" borderId="42" xfId="6" applyNumberFormat="1" applyFont="1" applyFill="1" applyBorder="1" applyAlignment="1">
      <alignment horizontal="right"/>
    </xf>
    <xf numFmtId="166" fontId="78" fillId="22" borderId="12" xfId="6" applyNumberFormat="1" applyFont="1" applyFill="1"/>
    <xf numFmtId="166" fontId="78" fillId="0" borderId="12" xfId="6" applyNumberFormat="1" applyFont="1"/>
    <xf numFmtId="166" fontId="78" fillId="8" borderId="42" xfId="6" applyNumberFormat="1" applyFont="1" applyFill="1" applyBorder="1" applyAlignment="1">
      <alignment horizontal="right"/>
    </xf>
    <xf numFmtId="0" fontId="55" fillId="29" borderId="14" xfId="6" applyFont="1" applyFill="1" applyBorder="1"/>
    <xf numFmtId="0" fontId="55" fillId="0" borderId="12" xfId="6" applyFont="1"/>
    <xf numFmtId="164" fontId="55" fillId="0" borderId="12" xfId="6" applyNumberFormat="1" applyFont="1"/>
    <xf numFmtId="0" fontId="61" fillId="33" borderId="16" xfId="6" applyFont="1" applyFill="1" applyBorder="1"/>
    <xf numFmtId="164" fontId="55" fillId="9" borderId="18" xfId="6" applyNumberFormat="1" applyFont="1" applyFill="1" applyBorder="1"/>
    <xf numFmtId="0" fontId="55" fillId="0" borderId="14" xfId="6" applyFont="1" applyBorder="1"/>
    <xf numFmtId="0" fontId="61" fillId="8" borderId="14" xfId="6" applyFont="1" applyFill="1" applyBorder="1"/>
    <xf numFmtId="164" fontId="55" fillId="8" borderId="12" xfId="6" applyNumberFormat="1" applyFont="1" applyFill="1"/>
    <xf numFmtId="0" fontId="55" fillId="0" borderId="16" xfId="6" applyFont="1" applyBorder="1"/>
    <xf numFmtId="0" fontId="55" fillId="0" borderId="18" xfId="6" applyFont="1" applyBorder="1"/>
    <xf numFmtId="0" fontId="64" fillId="8" borderId="12" xfId="6" applyFont="1" applyFill="1"/>
    <xf numFmtId="164" fontId="80" fillId="0" borderId="0" xfId="0" applyNumberFormat="1" applyFont="1"/>
    <xf numFmtId="9" fontId="80" fillId="0" borderId="0" xfId="0" applyNumberFormat="1" applyFont="1"/>
    <xf numFmtId="0" fontId="90" fillId="0" borderId="0" xfId="0" applyFont="1"/>
    <xf numFmtId="0" fontId="91" fillId="0" borderId="0" xfId="0" applyFont="1"/>
    <xf numFmtId="0" fontId="36" fillId="11" borderId="0" xfId="0" applyFont="1" applyFill="1"/>
    <xf numFmtId="0" fontId="87" fillId="0" borderId="0" xfId="0" applyFont="1"/>
    <xf numFmtId="0" fontId="92" fillId="11" borderId="0" xfId="0" applyFont="1" applyFill="1"/>
    <xf numFmtId="0" fontId="37" fillId="0" borderId="0" xfId="0" applyFont="1"/>
    <xf numFmtId="0" fontId="73" fillId="0" borderId="0" xfId="0" applyFont="1"/>
    <xf numFmtId="0" fontId="88" fillId="0" borderId="0" xfId="0" applyFont="1"/>
    <xf numFmtId="0" fontId="94" fillId="0" borderId="0" xfId="0" applyFont="1"/>
    <xf numFmtId="0" fontId="96" fillId="35" borderId="0" xfId="0" applyFont="1" applyFill="1"/>
    <xf numFmtId="164" fontId="96" fillId="35" borderId="0" xfId="0" applyNumberFormat="1" applyFont="1" applyFill="1"/>
    <xf numFmtId="0" fontId="96" fillId="35" borderId="0" xfId="0" applyFont="1" applyFill="1" applyAlignment="1">
      <alignment horizontal="center"/>
    </xf>
    <xf numFmtId="164" fontId="88" fillId="0" borderId="0" xfId="0" applyNumberFormat="1" applyFont="1"/>
    <xf numFmtId="164" fontId="88" fillId="35" borderId="0" xfId="0" applyNumberFormat="1" applyFont="1" applyFill="1"/>
    <xf numFmtId="0" fontId="88" fillId="35" borderId="0" xfId="0" applyFont="1" applyFill="1"/>
    <xf numFmtId="0" fontId="97" fillId="0" borderId="0" xfId="0" applyFont="1"/>
    <xf numFmtId="0" fontId="0" fillId="31" borderId="0" xfId="0" applyFill="1"/>
    <xf numFmtId="0" fontId="0" fillId="36" borderId="0" xfId="0" applyFill="1"/>
    <xf numFmtId="0" fontId="72" fillId="0" borderId="0" xfId="0" applyFont="1"/>
    <xf numFmtId="0" fontId="98" fillId="0" borderId="40" xfId="2" applyFont="1" applyBorder="1" applyAlignment="1">
      <alignment horizontal="right" vertical="center" wrapText="1"/>
    </xf>
    <xf numFmtId="0" fontId="98" fillId="0" borderId="38" xfId="2" applyFont="1" applyBorder="1" applyAlignment="1">
      <alignment horizontal="right" vertical="top" wrapText="1"/>
    </xf>
    <xf numFmtId="0" fontId="98" fillId="0" borderId="38" xfId="2" applyFont="1" applyBorder="1" applyAlignment="1">
      <alignment horizontal="left" vertical="top" wrapText="1"/>
    </xf>
    <xf numFmtId="0" fontId="98" fillId="0" borderId="40" xfId="2" applyFont="1" applyBorder="1" applyAlignment="1">
      <alignment horizontal="right" vertical="top" wrapText="1"/>
    </xf>
    <xf numFmtId="0" fontId="98" fillId="0" borderId="40" xfId="2" applyFont="1" applyBorder="1" applyAlignment="1">
      <alignment horizontal="left" vertical="top" wrapText="1"/>
    </xf>
    <xf numFmtId="0" fontId="92" fillId="12" borderId="0" xfId="0" applyFont="1" applyFill="1"/>
    <xf numFmtId="0" fontId="105" fillId="0" borderId="12" xfId="2" applyFont="1" applyAlignment="1">
      <alignment horizontal="left" vertical="top"/>
    </xf>
    <xf numFmtId="0" fontId="37" fillId="18" borderId="0" xfId="0" applyFont="1" applyFill="1"/>
    <xf numFmtId="0" fontId="0" fillId="34" borderId="0" xfId="0" applyFill="1"/>
    <xf numFmtId="0" fontId="108" fillId="18" borderId="12" xfId="0" applyFont="1" applyFill="1" applyBorder="1" applyAlignment="1">
      <alignment horizontal="center"/>
    </xf>
    <xf numFmtId="0" fontId="93" fillId="11" borderId="0" xfId="0" applyFont="1" applyFill="1"/>
    <xf numFmtId="0" fontId="0" fillId="29" borderId="0" xfId="0" applyFill="1"/>
    <xf numFmtId="0" fontId="92" fillId="11" borderId="46" xfId="0" applyFont="1" applyFill="1" applyBorder="1"/>
    <xf numFmtId="0" fontId="0" fillId="0" borderId="46" xfId="0" applyBorder="1"/>
    <xf numFmtId="0" fontId="0" fillId="18" borderId="46" xfId="0" applyFill="1" applyBorder="1"/>
    <xf numFmtId="0" fontId="0" fillId="14" borderId="46" xfId="0" applyFill="1" applyBorder="1"/>
    <xf numFmtId="0" fontId="111" fillId="0" borderId="0" xfId="0" applyFont="1"/>
    <xf numFmtId="0" fontId="114" fillId="14" borderId="0" xfId="0" applyFont="1" applyFill="1"/>
    <xf numFmtId="0" fontId="102" fillId="14" borderId="12" xfId="2" applyFont="1" applyFill="1" applyAlignment="1">
      <alignment horizontal="left" vertical="top"/>
    </xf>
    <xf numFmtId="0" fontId="109" fillId="11" borderId="12" xfId="3" applyFont="1" applyFill="1"/>
    <xf numFmtId="0" fontId="109" fillId="11" borderId="12" xfId="3" applyFont="1" applyFill="1" applyAlignment="1">
      <alignment horizontal="center"/>
    </xf>
    <xf numFmtId="0" fontId="92" fillId="12" borderId="12" xfId="3" applyFont="1" applyFill="1"/>
    <xf numFmtId="0" fontId="92" fillId="12" borderId="12" xfId="3" applyFont="1" applyFill="1" applyAlignment="1">
      <alignment horizontal="center"/>
    </xf>
    <xf numFmtId="0" fontId="87" fillId="0" borderId="49" xfId="3" applyFont="1" applyBorder="1"/>
    <xf numFmtId="0" fontId="87" fillId="0" borderId="49" xfId="3" applyFont="1" applyBorder="1" applyAlignment="1">
      <alignment horizontal="center"/>
    </xf>
    <xf numFmtId="0" fontId="88" fillId="0" borderId="49" xfId="3" applyFont="1" applyBorder="1"/>
    <xf numFmtId="0" fontId="87" fillId="0" borderId="55" xfId="3" applyFont="1" applyBorder="1"/>
    <xf numFmtId="0" fontId="88" fillId="0" borderId="57" xfId="3" applyFont="1" applyBorder="1"/>
    <xf numFmtId="0" fontId="93" fillId="11" borderId="12" xfId="3" applyFont="1" applyFill="1"/>
    <xf numFmtId="0" fontId="50" fillId="19" borderId="18" xfId="2" applyFont="1" applyFill="1" applyBorder="1" applyAlignment="1">
      <alignment horizontal="centerContinuous" vertical="top"/>
    </xf>
    <xf numFmtId="0" fontId="50" fillId="19" borderId="17" xfId="2" applyFont="1" applyFill="1" applyBorder="1" applyAlignment="1">
      <alignment horizontal="centerContinuous" vertical="top"/>
    </xf>
    <xf numFmtId="0" fontId="42" fillId="19" borderId="18" xfId="2" applyFont="1" applyFill="1" applyBorder="1" applyAlignment="1">
      <alignment horizontal="centerContinuous" vertical="top"/>
    </xf>
    <xf numFmtId="0" fontId="42" fillId="19" borderId="17" xfId="2" applyFont="1" applyFill="1" applyBorder="1" applyAlignment="1">
      <alignment horizontal="centerContinuous" vertical="top"/>
    </xf>
    <xf numFmtId="0" fontId="115" fillId="0" borderId="12" xfId="2" applyFont="1" applyAlignment="1">
      <alignment horizontal="left" vertical="top"/>
    </xf>
    <xf numFmtId="0" fontId="51" fillId="19" borderId="16" xfId="2" applyFont="1" applyFill="1" applyBorder="1" applyAlignment="1">
      <alignment horizontal="centerContinuous" vertical="center" wrapText="1"/>
    </xf>
    <xf numFmtId="0" fontId="51" fillId="19" borderId="16" xfId="2" applyFont="1" applyFill="1" applyBorder="1" applyAlignment="1">
      <alignment horizontal="centerContinuous" vertical="top" wrapText="1"/>
    </xf>
    <xf numFmtId="0" fontId="53" fillId="0" borderId="0" xfId="0" applyFont="1"/>
    <xf numFmtId="0" fontId="116" fillId="20" borderId="12" xfId="2" applyFont="1" applyFill="1" applyAlignment="1">
      <alignment horizontal="left" vertical="top"/>
    </xf>
    <xf numFmtId="0" fontId="105" fillId="20" borderId="12" xfId="2" applyFont="1" applyFill="1" applyAlignment="1">
      <alignment horizontal="left" vertical="top"/>
    </xf>
    <xf numFmtId="43" fontId="0" fillId="0" borderId="0" xfId="1" applyFont="1"/>
    <xf numFmtId="43" fontId="37" fillId="0" borderId="0" xfId="1" applyFont="1"/>
    <xf numFmtId="169" fontId="0" fillId="0" borderId="0" xfId="0" applyNumberFormat="1"/>
    <xf numFmtId="0" fontId="112" fillId="26" borderId="12" xfId="6" applyFont="1" applyFill="1"/>
    <xf numFmtId="0" fontId="74" fillId="11" borderId="18" xfId="6" applyFont="1" applyFill="1" applyBorder="1"/>
    <xf numFmtId="0" fontId="74" fillId="11" borderId="12" xfId="6" applyFont="1" applyFill="1"/>
    <xf numFmtId="166" fontId="28" fillId="11" borderId="32" xfId="6" applyNumberFormat="1" applyFont="1" applyFill="1" applyBorder="1"/>
    <xf numFmtId="0" fontId="108" fillId="11" borderId="12" xfId="6" applyFont="1" applyFill="1"/>
    <xf numFmtId="0" fontId="108" fillId="11" borderId="12" xfId="6" applyFont="1" applyFill="1" applyAlignment="1">
      <alignment horizontal="center"/>
    </xf>
    <xf numFmtId="0" fontId="117" fillId="0" borderId="12" xfId="6" applyFont="1"/>
    <xf numFmtId="167" fontId="0" fillId="0" borderId="0" xfId="0" applyNumberFormat="1"/>
    <xf numFmtId="0" fontId="121" fillId="30" borderId="0" xfId="0" applyFont="1" applyFill="1"/>
    <xf numFmtId="0" fontId="122" fillId="14" borderId="0" xfId="0" applyFont="1" applyFill="1"/>
    <xf numFmtId="0" fontId="120" fillId="35" borderId="0" xfId="0" applyFont="1" applyFill="1"/>
    <xf numFmtId="0" fontId="36" fillId="21" borderId="0" xfId="0" applyFont="1" applyFill="1"/>
    <xf numFmtId="0" fontId="88" fillId="13" borderId="0" xfId="0" applyFont="1" applyFill="1" applyAlignment="1">
      <alignment horizontal="center"/>
    </xf>
    <xf numFmtId="0" fontId="125" fillId="0" borderId="0" xfId="0" applyFont="1"/>
    <xf numFmtId="0" fontId="126" fillId="0" borderId="0" xfId="0" applyFont="1"/>
    <xf numFmtId="0" fontId="37" fillId="37" borderId="0" xfId="0" applyFont="1" applyFill="1"/>
    <xf numFmtId="0" fontId="15" fillId="0" borderId="0" xfId="0" applyFont="1"/>
    <xf numFmtId="0" fontId="15" fillId="38" borderId="0" xfId="0" applyFont="1" applyFill="1"/>
    <xf numFmtId="0" fontId="15" fillId="29" borderId="0" xfId="0" applyFont="1" applyFill="1"/>
    <xf numFmtId="0" fontId="15" fillId="34" borderId="0" xfId="0" applyFont="1" applyFill="1"/>
    <xf numFmtId="0" fontId="128" fillId="0" borderId="0" xfId="0" applyFont="1"/>
    <xf numFmtId="0" fontId="129" fillId="0" borderId="0" xfId="0" applyFont="1"/>
    <xf numFmtId="0" fontId="130" fillId="34" borderId="0" xfId="0" applyFont="1" applyFill="1"/>
    <xf numFmtId="0" fontId="15" fillId="37" borderId="0" xfId="0" applyFont="1" applyFill="1"/>
    <xf numFmtId="0" fontId="131" fillId="0" borderId="0" xfId="0" applyFont="1"/>
    <xf numFmtId="0" fontId="132" fillId="0" borderId="0" xfId="0" applyFont="1"/>
    <xf numFmtId="166" fontId="95" fillId="18" borderId="0" xfId="0" applyNumberFormat="1" applyFont="1" applyFill="1"/>
    <xf numFmtId="44" fontId="134" fillId="2" borderId="12" xfId="6" applyNumberFormat="1" applyFont="1" applyFill="1"/>
    <xf numFmtId="0" fontId="133" fillId="0" borderId="0" xfId="0" applyFont="1"/>
    <xf numFmtId="0" fontId="132" fillId="0" borderId="58" xfId="0" applyFont="1" applyBorder="1"/>
    <xf numFmtId="0" fontId="15" fillId="18" borderId="0" xfId="0" applyFont="1" applyFill="1"/>
    <xf numFmtId="0" fontId="85" fillId="34" borderId="36" xfId="2" applyFont="1" applyFill="1" applyBorder="1" applyAlignment="1">
      <alignment horizontal="center" vertical="center" wrapText="1"/>
    </xf>
    <xf numFmtId="0" fontId="135" fillId="11" borderId="0" xfId="0" applyFont="1" applyFill="1"/>
    <xf numFmtId="166" fontId="95" fillId="0" borderId="0" xfId="0" applyNumberFormat="1" applyFont="1"/>
    <xf numFmtId="166" fontId="136" fillId="29" borderId="0" xfId="0" applyNumberFormat="1" applyFont="1" applyFill="1" applyAlignment="1">
      <alignment horizontal="center"/>
    </xf>
    <xf numFmtId="0" fontId="104" fillId="11" borderId="0" xfId="0" applyFont="1" applyFill="1"/>
    <xf numFmtId="0" fontId="52" fillId="0" borderId="0" xfId="0" applyFont="1"/>
    <xf numFmtId="0" fontId="52" fillId="19" borderId="0" xfId="0" applyFont="1" applyFill="1"/>
    <xf numFmtId="166" fontId="52" fillId="19" borderId="0" xfId="0" applyNumberFormat="1" applyFont="1" applyFill="1"/>
    <xf numFmtId="166" fontId="133" fillId="18" borderId="0" xfId="0" applyNumberFormat="1" applyFont="1" applyFill="1"/>
    <xf numFmtId="0" fontId="95" fillId="18" borderId="0" xfId="0" applyFont="1" applyFill="1"/>
    <xf numFmtId="170" fontId="132" fillId="19" borderId="0" xfId="0" applyNumberFormat="1" applyFont="1" applyFill="1"/>
    <xf numFmtId="0" fontId="132" fillId="19" borderId="0" xfId="0" applyFont="1" applyFill="1"/>
    <xf numFmtId="0" fontId="133" fillId="18" borderId="0" xfId="0" applyFont="1" applyFill="1"/>
    <xf numFmtId="18" fontId="132" fillId="19" borderId="0" xfId="0" applyNumberFormat="1" applyFont="1" applyFill="1"/>
    <xf numFmtId="18" fontId="140" fillId="13" borderId="13" xfId="0" applyNumberFormat="1" applyFont="1" applyFill="1" applyBorder="1" applyAlignment="1">
      <alignment horizontal="right" wrapText="1"/>
    </xf>
    <xf numFmtId="0" fontId="76" fillId="0" borderId="0" xfId="0" applyFont="1"/>
    <xf numFmtId="164" fontId="132" fillId="0" borderId="0" xfId="0" applyNumberFormat="1" applyFont="1"/>
    <xf numFmtId="0" fontId="88" fillId="18" borderId="0" xfId="0" applyFont="1" applyFill="1"/>
    <xf numFmtId="18" fontId="55" fillId="13" borderId="13" xfId="0" applyNumberFormat="1" applyFont="1" applyFill="1" applyBorder="1" applyAlignment="1">
      <alignment horizontal="right" wrapText="1"/>
    </xf>
    <xf numFmtId="18" fontId="55" fillId="13" borderId="1" xfId="0" applyNumberFormat="1" applyFont="1" applyFill="1" applyBorder="1" applyAlignment="1">
      <alignment horizontal="right" wrapText="1"/>
    </xf>
    <xf numFmtId="18" fontId="55" fillId="14" borderId="1" xfId="0" applyNumberFormat="1" applyFont="1" applyFill="1" applyBorder="1" applyAlignment="1">
      <alignment horizontal="right" wrapText="1"/>
    </xf>
    <xf numFmtId="18" fontId="55" fillId="14" borderId="13" xfId="0" applyNumberFormat="1" applyFont="1" applyFill="1" applyBorder="1" applyAlignment="1">
      <alignment horizontal="right" wrapText="1"/>
    </xf>
    <xf numFmtId="0" fontId="79" fillId="0" borderId="15" xfId="0" applyFont="1" applyBorder="1"/>
    <xf numFmtId="0" fontId="79" fillId="0" borderId="17" xfId="0" applyFont="1" applyBorder="1"/>
    <xf numFmtId="0" fontId="77" fillId="0" borderId="0" xfId="0" applyFont="1"/>
    <xf numFmtId="0" fontId="140" fillId="13" borderId="1" xfId="0" applyFont="1" applyFill="1" applyBorder="1" applyAlignment="1">
      <alignment horizontal="center" wrapText="1"/>
    </xf>
    <xf numFmtId="0" fontId="140" fillId="14" borderId="1" xfId="0" applyFont="1" applyFill="1" applyBorder="1" applyAlignment="1">
      <alignment horizontal="center" wrapText="1"/>
    </xf>
    <xf numFmtId="0" fontId="141" fillId="0" borderId="0" xfId="0" applyFont="1"/>
    <xf numFmtId="16" fontId="133" fillId="13" borderId="23" xfId="0" applyNumberFormat="1" applyFont="1" applyFill="1" applyBorder="1" applyAlignment="1">
      <alignment horizontal="center" vertical="center"/>
    </xf>
    <xf numFmtId="0" fontId="133" fillId="13" borderId="24" xfId="0" applyFont="1" applyFill="1" applyBorder="1" applyAlignment="1">
      <alignment horizontal="center" vertical="center"/>
    </xf>
    <xf numFmtId="18" fontId="133" fillId="13" borderId="24" xfId="0" applyNumberFormat="1" applyFont="1" applyFill="1" applyBorder="1" applyAlignment="1">
      <alignment horizontal="center" vertical="center"/>
    </xf>
    <xf numFmtId="0" fontId="133" fillId="13" borderId="24" xfId="0" applyFont="1" applyFill="1" applyBorder="1" applyAlignment="1">
      <alignment horizontal="left" vertical="center"/>
    </xf>
    <xf numFmtId="0" fontId="133" fillId="13" borderId="25" xfId="0" applyFont="1" applyFill="1" applyBorder="1" applyAlignment="1">
      <alignment horizontal="left" vertical="center"/>
    </xf>
    <xf numFmtId="16" fontId="133" fillId="14" borderId="23" xfId="0" applyNumberFormat="1" applyFont="1" applyFill="1" applyBorder="1" applyAlignment="1">
      <alignment horizontal="center" vertical="center"/>
    </xf>
    <xf numFmtId="0" fontId="133" fillId="14" borderId="24" xfId="0" applyFont="1" applyFill="1" applyBorder="1" applyAlignment="1">
      <alignment horizontal="center" vertical="center"/>
    </xf>
    <xf numFmtId="18" fontId="133" fillId="14" borderId="24" xfId="0" applyNumberFormat="1" applyFont="1" applyFill="1" applyBorder="1" applyAlignment="1">
      <alignment horizontal="center" vertical="center"/>
    </xf>
    <xf numFmtId="0" fontId="133" fillId="14" borderId="24" xfId="0" applyFont="1" applyFill="1" applyBorder="1" applyAlignment="1">
      <alignment horizontal="left" vertical="center"/>
    </xf>
    <xf numFmtId="0" fontId="133" fillId="14" borderId="25" xfId="0" applyFont="1" applyFill="1" applyBorder="1" applyAlignment="1">
      <alignment horizontal="left" vertical="center"/>
    </xf>
    <xf numFmtId="16" fontId="133" fillId="13" borderId="26" xfId="0" applyNumberFormat="1" applyFont="1" applyFill="1" applyBorder="1" applyAlignment="1">
      <alignment horizontal="center" vertical="center"/>
    </xf>
    <xf numFmtId="0" fontId="133" fillId="13" borderId="27" xfId="0" applyFont="1" applyFill="1" applyBorder="1" applyAlignment="1">
      <alignment horizontal="center" vertical="center"/>
    </xf>
    <xf numFmtId="18" fontId="133" fillId="13" borderId="27" xfId="0" applyNumberFormat="1" applyFont="1" applyFill="1" applyBorder="1" applyAlignment="1">
      <alignment horizontal="center" vertical="center"/>
    </xf>
    <xf numFmtId="0" fontId="133" fillId="13" borderId="27" xfId="0" applyFont="1" applyFill="1" applyBorder="1" applyAlignment="1">
      <alignment horizontal="left" vertical="center"/>
    </xf>
    <xf numFmtId="0" fontId="133" fillId="13" borderId="28" xfId="0" applyFont="1" applyFill="1" applyBorder="1" applyAlignment="1">
      <alignment horizontal="left" vertical="center"/>
    </xf>
    <xf numFmtId="0" fontId="142" fillId="0" borderId="0" xfId="0" applyFont="1" applyAlignment="1">
      <alignment horizontal="center"/>
    </xf>
    <xf numFmtId="0" fontId="134" fillId="13" borderId="0" xfId="0" applyFont="1" applyFill="1" applyAlignment="1">
      <alignment horizontal="center"/>
    </xf>
    <xf numFmtId="0" fontId="134" fillId="14" borderId="0" xfId="0" applyFont="1" applyFill="1" applyAlignment="1">
      <alignment horizontal="center"/>
    </xf>
    <xf numFmtId="0" fontId="134" fillId="13" borderId="0" xfId="0" applyFont="1" applyFill="1"/>
    <xf numFmtId="0" fontId="134" fillId="13" borderId="7" xfId="0" applyFont="1" applyFill="1" applyBorder="1"/>
    <xf numFmtId="0" fontId="133" fillId="14" borderId="0" xfId="0" applyFont="1" applyFill="1"/>
    <xf numFmtId="0" fontId="133" fillId="13" borderId="0" xfId="0" applyFont="1" applyFill="1"/>
    <xf numFmtId="0" fontId="80" fillId="34" borderId="0" xfId="0" applyFont="1" applyFill="1"/>
    <xf numFmtId="0" fontId="133" fillId="32" borderId="0" xfId="0" applyFont="1" applyFill="1"/>
    <xf numFmtId="0" fontId="132" fillId="32" borderId="0" xfId="0" applyFont="1" applyFill="1"/>
    <xf numFmtId="0" fontId="80" fillId="0" borderId="46" xfId="0" applyFont="1" applyBorder="1"/>
    <xf numFmtId="0" fontId="80" fillId="29" borderId="0" xfId="0" applyFont="1" applyFill="1"/>
    <xf numFmtId="0" fontId="132" fillId="0" borderId="46" xfId="0" applyFont="1" applyBorder="1"/>
    <xf numFmtId="166" fontId="145" fillId="29" borderId="0" xfId="0" applyNumberFormat="1" applyFont="1" applyFill="1" applyAlignment="1">
      <alignment horizontal="center"/>
    </xf>
    <xf numFmtId="166" fontId="76" fillId="31" borderId="0" xfId="0" applyNumberFormat="1" applyFont="1" applyFill="1"/>
    <xf numFmtId="1" fontId="133" fillId="0" borderId="0" xfId="0" applyNumberFormat="1" applyFont="1"/>
    <xf numFmtId="166" fontId="132" fillId="0" borderId="0" xfId="0" applyNumberFormat="1" applyFont="1"/>
    <xf numFmtId="166" fontId="55" fillId="22" borderId="12" xfId="6" applyNumberFormat="1" applyFont="1" applyFill="1" applyAlignment="1">
      <alignment horizontal="right"/>
    </xf>
    <xf numFmtId="166" fontId="55" fillId="22" borderId="42" xfId="6" applyNumberFormat="1" applyFont="1" applyFill="1" applyBorder="1" applyAlignment="1">
      <alignment horizontal="right"/>
    </xf>
    <xf numFmtId="166" fontId="146" fillId="0" borderId="12" xfId="6" applyNumberFormat="1" applyFont="1"/>
    <xf numFmtId="166" fontId="55" fillId="2" borderId="42" xfId="6" applyNumberFormat="1" applyFont="1" applyFill="1" applyBorder="1" applyAlignment="1">
      <alignment horizontal="right"/>
    </xf>
    <xf numFmtId="166" fontId="81" fillId="9" borderId="18" xfId="6" applyNumberFormat="1" applyFont="1" applyFill="1" applyBorder="1" applyAlignment="1">
      <alignment horizontal="right"/>
    </xf>
    <xf numFmtId="166" fontId="81" fillId="9" borderId="40" xfId="6" applyNumberFormat="1" applyFont="1" applyFill="1" applyBorder="1" applyAlignment="1">
      <alignment horizontal="right"/>
    </xf>
    <xf numFmtId="166" fontId="55" fillId="0" borderId="12" xfId="6" applyNumberFormat="1" applyFont="1"/>
    <xf numFmtId="166" fontId="146" fillId="22" borderId="12" xfId="6" applyNumberFormat="1" applyFont="1" applyFill="1"/>
    <xf numFmtId="166" fontId="81" fillId="8" borderId="12" xfId="6" applyNumberFormat="1" applyFont="1" applyFill="1" applyAlignment="1">
      <alignment horizontal="right"/>
    </xf>
    <xf numFmtId="166" fontId="81" fillId="8" borderId="42" xfId="6" applyNumberFormat="1" applyFont="1" applyFill="1" applyBorder="1" applyAlignment="1">
      <alignment horizontal="right"/>
    </xf>
    <xf numFmtId="166" fontId="55" fillId="0" borderId="18" xfId="6" applyNumberFormat="1" applyFont="1" applyBorder="1" applyAlignment="1">
      <alignment horizontal="right"/>
    </xf>
    <xf numFmtId="166" fontId="61" fillId="8" borderId="12" xfId="6" applyNumberFormat="1" applyFont="1" applyFill="1" applyAlignment="1">
      <alignment horizontal="right"/>
    </xf>
    <xf numFmtId="166" fontId="61" fillId="8" borderId="42" xfId="6" applyNumberFormat="1" applyFont="1" applyFill="1" applyBorder="1" applyAlignment="1">
      <alignment horizontal="right"/>
    </xf>
    <xf numFmtId="0" fontId="146" fillId="0" borderId="12" xfId="6" applyFont="1"/>
    <xf numFmtId="166" fontId="61" fillId="22" borderId="12" xfId="6" applyNumberFormat="1" applyFont="1" applyFill="1" applyAlignment="1">
      <alignment horizontal="right"/>
    </xf>
    <xf numFmtId="166" fontId="61" fillId="22" borderId="42" xfId="6" applyNumberFormat="1" applyFont="1" applyFill="1" applyBorder="1" applyAlignment="1">
      <alignment horizontal="right"/>
    </xf>
    <xf numFmtId="166" fontId="61" fillId="23" borderId="18" xfId="6" applyNumberFormat="1" applyFont="1" applyFill="1" applyBorder="1" applyAlignment="1">
      <alignment horizontal="right"/>
    </xf>
    <xf numFmtId="166" fontId="61" fillId="23" borderId="40" xfId="6" applyNumberFormat="1" applyFont="1" applyFill="1" applyBorder="1" applyAlignment="1">
      <alignment horizontal="right"/>
    </xf>
    <xf numFmtId="166" fontId="61" fillId="0" borderId="12" xfId="6" applyNumberFormat="1" applyFont="1"/>
    <xf numFmtId="166" fontId="140" fillId="22" borderId="42" xfId="6" applyNumberFormat="1" applyFont="1" applyFill="1" applyBorder="1" applyAlignment="1">
      <alignment horizontal="right"/>
    </xf>
    <xf numFmtId="166" fontId="140" fillId="22" borderId="12" xfId="6" applyNumberFormat="1" applyFont="1" applyFill="1" applyAlignment="1">
      <alignment horizontal="right"/>
    </xf>
    <xf numFmtId="166" fontId="140" fillId="0" borderId="12" xfId="6" applyNumberFormat="1" applyFont="1"/>
    <xf numFmtId="166" fontId="7" fillId="0" borderId="12" xfId="6" applyNumberFormat="1" applyFont="1" applyAlignment="1">
      <alignment horizontal="right"/>
    </xf>
    <xf numFmtId="166" fontId="7" fillId="0" borderId="12" xfId="6" applyNumberFormat="1" applyFont="1"/>
    <xf numFmtId="166" fontId="7" fillId="22" borderId="12" xfId="6" applyNumberFormat="1" applyFont="1" applyFill="1" applyAlignment="1">
      <alignment horizontal="right"/>
    </xf>
    <xf numFmtId="166" fontId="144" fillId="22" borderId="12" xfId="6" applyNumberFormat="1" applyFont="1" applyFill="1" applyAlignment="1">
      <alignment horizontal="right"/>
    </xf>
    <xf numFmtId="166" fontId="147" fillId="0" borderId="12" xfId="6" applyNumberFormat="1" applyFont="1"/>
    <xf numFmtId="166" fontId="7" fillId="22" borderId="41" xfId="6" applyNumberFormat="1" applyFont="1" applyFill="1" applyBorder="1" applyAlignment="1">
      <alignment horizontal="right"/>
    </xf>
    <xf numFmtId="166" fontId="147" fillId="22" borderId="12" xfId="6" applyNumberFormat="1" applyFont="1" applyFill="1"/>
    <xf numFmtId="166" fontId="7" fillId="22" borderId="18" xfId="6" applyNumberFormat="1" applyFont="1" applyFill="1" applyBorder="1" applyAlignment="1">
      <alignment horizontal="right"/>
    </xf>
    <xf numFmtId="166" fontId="7" fillId="0" borderId="18" xfId="6" applyNumberFormat="1" applyFont="1" applyBorder="1" applyAlignment="1">
      <alignment horizontal="right"/>
    </xf>
    <xf numFmtId="166" fontId="148" fillId="8" borderId="12" xfId="6" applyNumberFormat="1" applyFont="1" applyFill="1" applyAlignment="1">
      <alignment horizontal="right"/>
    </xf>
    <xf numFmtId="0" fontId="147" fillId="0" borderId="12" xfId="6" applyFont="1"/>
    <xf numFmtId="166" fontId="148" fillId="23" borderId="18" xfId="6" applyNumberFormat="1" applyFont="1" applyFill="1" applyBorder="1" applyAlignment="1">
      <alignment horizontal="right"/>
    </xf>
    <xf numFmtId="166" fontId="148" fillId="0" borderId="43" xfId="6" applyNumberFormat="1" applyFont="1" applyBorder="1" applyAlignment="1">
      <alignment horizontal="right"/>
    </xf>
    <xf numFmtId="166" fontId="7" fillId="2" borderId="12" xfId="6" applyNumberFormat="1" applyFont="1" applyFill="1"/>
    <xf numFmtId="166" fontId="148" fillId="0" borderId="12" xfId="6" applyNumberFormat="1" applyFont="1" applyAlignment="1">
      <alignment horizontal="right"/>
    </xf>
    <xf numFmtId="164" fontId="7" fillId="0" borderId="12" xfId="6" applyNumberFormat="1" applyFont="1" applyAlignment="1">
      <alignment horizontal="right"/>
    </xf>
    <xf numFmtId="43" fontId="72" fillId="0" borderId="0" xfId="1" applyFont="1"/>
    <xf numFmtId="169" fontId="80" fillId="0" borderId="0" xfId="0" applyNumberFormat="1" applyFont="1"/>
    <xf numFmtId="43" fontId="132" fillId="0" borderId="0" xfId="1" applyFont="1"/>
    <xf numFmtId="169" fontId="132" fillId="0" borderId="0" xfId="0" applyNumberFormat="1" applyFont="1"/>
    <xf numFmtId="0" fontId="143" fillId="11" borderId="12" xfId="6" applyFont="1" applyFill="1"/>
    <xf numFmtId="44" fontId="79" fillId="0" borderId="12" xfId="6" applyNumberFormat="1" applyFont="1"/>
    <xf numFmtId="9" fontId="79" fillId="0" borderId="12" xfId="6" applyNumberFormat="1" applyFont="1"/>
    <xf numFmtId="9" fontId="79" fillId="0" borderId="12" xfId="6" applyNumberFormat="1" applyFont="1" applyAlignment="1">
      <alignment horizontal="right"/>
    </xf>
    <xf numFmtId="44" fontId="79" fillId="2" borderId="12" xfId="6" applyNumberFormat="1" applyFont="1" applyFill="1"/>
    <xf numFmtId="44" fontId="77" fillId="0" borderId="12" xfId="6" applyNumberFormat="1" applyFont="1"/>
    <xf numFmtId="0" fontId="79" fillId="0" borderId="12" xfId="6" applyFont="1" applyAlignment="1">
      <alignment horizontal="center"/>
    </xf>
    <xf numFmtId="44" fontId="79" fillId="0" borderId="2" xfId="6" applyNumberFormat="1" applyFont="1" applyBorder="1" applyAlignment="1">
      <alignment horizontal="center" vertical="center"/>
    </xf>
    <xf numFmtId="44" fontId="77" fillId="8" borderId="12" xfId="6" applyNumberFormat="1" applyFont="1" applyFill="1" applyAlignment="1">
      <alignment horizontal="center" vertical="center"/>
    </xf>
    <xf numFmtId="0" fontId="79" fillId="0" borderId="45" xfId="6" applyFont="1" applyBorder="1" applyAlignment="1">
      <alignment horizontal="center" vertical="center"/>
    </xf>
    <xf numFmtId="44" fontId="79" fillId="0" borderId="45" xfId="6" applyNumberFormat="1" applyFont="1" applyBorder="1" applyAlignment="1">
      <alignment horizontal="center" vertical="center"/>
    </xf>
    <xf numFmtId="0" fontId="79" fillId="0" borderId="2" xfId="6" applyFont="1" applyBorder="1" applyAlignment="1">
      <alignment horizontal="center" vertical="center"/>
    </xf>
    <xf numFmtId="0" fontId="79" fillId="0" borderId="12" xfId="6" applyFont="1"/>
    <xf numFmtId="0" fontId="134" fillId="0" borderId="12" xfId="6" applyFont="1"/>
    <xf numFmtId="44" fontId="134" fillId="0" borderId="45" xfId="6" applyNumberFormat="1" applyFont="1" applyBorder="1"/>
    <xf numFmtId="0" fontId="38" fillId="13" borderId="12" xfId="2" applyFill="1" applyAlignment="1">
      <alignment horizontal="left" vertical="top"/>
    </xf>
    <xf numFmtId="0" fontId="149" fillId="13" borderId="12" xfId="2" applyFont="1" applyFill="1" applyAlignment="1">
      <alignment horizontal="left" vertical="top"/>
    </xf>
    <xf numFmtId="0" fontId="149" fillId="0" borderId="12" xfId="2" applyFont="1" applyAlignment="1">
      <alignment horizontal="left" vertical="top"/>
    </xf>
    <xf numFmtId="0" fontId="150" fillId="0" borderId="38" xfId="2" applyFont="1" applyBorder="1" applyAlignment="1">
      <alignment horizontal="left" vertical="top" wrapText="1"/>
    </xf>
    <xf numFmtId="0" fontId="151" fillId="0" borderId="0" xfId="0" applyFont="1"/>
    <xf numFmtId="0" fontId="133" fillId="0" borderId="0" xfId="0" applyFont="1" applyAlignment="1">
      <alignment horizontal="center"/>
    </xf>
    <xf numFmtId="0" fontId="152" fillId="29" borderId="0" xfId="0" applyFont="1" applyFill="1" applyAlignment="1">
      <alignment horizontal="center"/>
    </xf>
    <xf numFmtId="0" fontId="133" fillId="29" borderId="0" xfId="0" applyFont="1" applyFill="1"/>
    <xf numFmtId="166" fontId="152" fillId="29" borderId="0" xfId="0" applyNumberFormat="1" applyFont="1" applyFill="1" applyAlignment="1">
      <alignment horizontal="center"/>
    </xf>
    <xf numFmtId="0" fontId="133" fillId="34" borderId="0" xfId="0" applyFont="1" applyFill="1"/>
    <xf numFmtId="0" fontId="15" fillId="37" borderId="0" xfId="0" applyFont="1" applyFill="1" applyAlignment="1">
      <alignment horizontal="center"/>
    </xf>
    <xf numFmtId="0" fontId="79" fillId="31" borderId="0" xfId="0" applyFont="1" applyFill="1" applyAlignment="1">
      <alignment horizontal="center"/>
    </xf>
    <xf numFmtId="0" fontId="8" fillId="31" borderId="0" xfId="0" applyFont="1" applyFill="1" applyAlignment="1">
      <alignment horizontal="center"/>
    </xf>
    <xf numFmtId="0" fontId="132" fillId="31" borderId="0" xfId="0" applyFont="1" applyFill="1"/>
    <xf numFmtId="0" fontId="52" fillId="0" borderId="50" xfId="3" applyFont="1" applyBorder="1" applyAlignment="1">
      <alignment horizontal="center"/>
    </xf>
    <xf numFmtId="0" fontId="88" fillId="0" borderId="50" xfId="3" applyFont="1" applyBorder="1" applyAlignment="1">
      <alignment horizontal="center"/>
    </xf>
    <xf numFmtId="0" fontId="72" fillId="0" borderId="56" xfId="3" applyFont="1" applyBorder="1" applyAlignment="1">
      <alignment horizontal="center"/>
    </xf>
    <xf numFmtId="0" fontId="52" fillId="0" borderId="47" xfId="3" applyFont="1" applyBorder="1" applyAlignment="1">
      <alignment horizontal="center"/>
    </xf>
    <xf numFmtId="0" fontId="144" fillId="0" borderId="47" xfId="3" applyFont="1" applyBorder="1" applyAlignment="1">
      <alignment horizontal="center"/>
    </xf>
    <xf numFmtId="0" fontId="52" fillId="0" borderId="12" xfId="3" applyFont="1" applyAlignment="1">
      <alignment horizontal="center"/>
    </xf>
    <xf numFmtId="0" fontId="144" fillId="0" borderId="12" xfId="3" applyFont="1" applyAlignment="1">
      <alignment horizontal="center"/>
    </xf>
    <xf numFmtId="0" fontId="52" fillId="14" borderId="47" xfId="3" applyFont="1" applyFill="1" applyBorder="1" applyAlignment="1">
      <alignment horizontal="center"/>
    </xf>
    <xf numFmtId="0" fontId="88" fillId="14" borderId="50" xfId="3" applyFont="1" applyFill="1" applyBorder="1" applyAlignment="1">
      <alignment horizontal="center"/>
    </xf>
    <xf numFmtId="0" fontId="72" fillId="14" borderId="56" xfId="3" applyFont="1" applyFill="1" applyBorder="1" applyAlignment="1">
      <alignment horizontal="center"/>
    </xf>
    <xf numFmtId="0" fontId="144" fillId="14" borderId="47" xfId="3" applyFont="1" applyFill="1" applyBorder="1" applyAlignment="1">
      <alignment horizontal="center"/>
    </xf>
    <xf numFmtId="0" fontId="52" fillId="14" borderId="48" xfId="3" applyFont="1" applyFill="1" applyBorder="1" applyAlignment="1">
      <alignment horizontal="center"/>
    </xf>
    <xf numFmtId="0" fontId="52" fillId="14" borderId="12" xfId="3" applyFont="1" applyFill="1" applyAlignment="1">
      <alignment horizontal="center"/>
    </xf>
    <xf numFmtId="0" fontId="144" fillId="14" borderId="12" xfId="3" applyFont="1" applyFill="1" applyAlignment="1">
      <alignment horizontal="center"/>
    </xf>
    <xf numFmtId="0" fontId="95" fillId="0" borderId="51" xfId="3" applyFont="1" applyBorder="1"/>
    <xf numFmtId="0" fontId="95" fillId="0" borderId="50" xfId="3" applyFont="1" applyBorder="1" applyAlignment="1">
      <alignment horizontal="center"/>
    </xf>
    <xf numFmtId="0" fontId="95" fillId="0" borderId="50" xfId="3" applyFont="1" applyBorder="1"/>
    <xf numFmtId="0" fontId="95" fillId="14" borderId="52" xfId="3" applyFont="1" applyFill="1" applyBorder="1"/>
    <xf numFmtId="0" fontId="95" fillId="14" borderId="47" xfId="3" applyFont="1" applyFill="1" applyBorder="1" applyAlignment="1">
      <alignment horizontal="center"/>
    </xf>
    <xf numFmtId="0" fontId="95" fillId="14" borderId="47" xfId="3" applyFont="1" applyFill="1" applyBorder="1"/>
    <xf numFmtId="0" fontId="95" fillId="0" borderId="52" xfId="3" applyFont="1" applyBorder="1"/>
    <xf numFmtId="0" fontId="95" fillId="0" borderId="47" xfId="3" applyFont="1" applyBorder="1" applyAlignment="1">
      <alignment horizontal="center"/>
    </xf>
    <xf numFmtId="0" fontId="95" fillId="0" borderId="47" xfId="3" applyFont="1" applyBorder="1"/>
    <xf numFmtId="0" fontId="153" fillId="14" borderId="47" xfId="3" applyFont="1" applyFill="1" applyBorder="1"/>
    <xf numFmtId="0" fontId="153" fillId="0" borderId="47" xfId="3" applyFont="1" applyBorder="1"/>
    <xf numFmtId="0" fontId="95" fillId="14" borderId="53" xfId="3" applyFont="1" applyFill="1" applyBorder="1"/>
    <xf numFmtId="0" fontId="95" fillId="14" borderId="48" xfId="3" applyFont="1" applyFill="1" applyBorder="1" applyAlignment="1">
      <alignment horizontal="center"/>
    </xf>
    <xf numFmtId="0" fontId="95" fillId="14" borderId="48" xfId="3" applyFont="1" applyFill="1" applyBorder="1"/>
    <xf numFmtId="0" fontId="95" fillId="0" borderId="54" xfId="3" applyFont="1" applyBorder="1"/>
    <xf numFmtId="0" fontId="95" fillId="0" borderId="12" xfId="3" applyFont="1" applyAlignment="1">
      <alignment horizontal="center"/>
    </xf>
    <xf numFmtId="0" fontId="95" fillId="0" borderId="12" xfId="3" applyFont="1"/>
    <xf numFmtId="0" fontId="95" fillId="14" borderId="54" xfId="3" applyFont="1" applyFill="1" applyBorder="1"/>
    <xf numFmtId="0" fontId="95" fillId="14" borderId="12" xfId="3" applyFont="1" applyFill="1" applyAlignment="1">
      <alignment horizontal="center"/>
    </xf>
    <xf numFmtId="0" fontId="95" fillId="14" borderId="12" xfId="3" applyFont="1" applyFill="1"/>
    <xf numFmtId="0" fontId="153" fillId="14" borderId="12" xfId="3" applyFont="1" applyFill="1"/>
    <xf numFmtId="0" fontId="153" fillId="0" borderId="12" xfId="3" applyFont="1"/>
    <xf numFmtId="0" fontId="144" fillId="0" borderId="50" xfId="3" applyFont="1" applyBorder="1" applyAlignment="1">
      <alignment horizontal="center"/>
    </xf>
    <xf numFmtId="0" fontId="88" fillId="0" borderId="56" xfId="3" applyFont="1" applyBorder="1" applyAlignment="1">
      <alignment horizontal="center"/>
    </xf>
    <xf numFmtId="0" fontId="144" fillId="14" borderId="48" xfId="3" applyFont="1" applyFill="1" applyBorder="1" applyAlignment="1">
      <alignment horizontal="center"/>
    </xf>
    <xf numFmtId="0" fontId="52" fillId="14" borderId="49" xfId="3" applyFont="1" applyFill="1" applyBorder="1" applyAlignment="1">
      <alignment horizontal="center"/>
    </xf>
    <xf numFmtId="0" fontId="153" fillId="0" borderId="50" xfId="3" applyFont="1" applyBorder="1"/>
    <xf numFmtId="0" fontId="153" fillId="14" borderId="48" xfId="3" applyFont="1" applyFill="1" applyBorder="1"/>
    <xf numFmtId="0" fontId="95" fillId="14" borderId="55" xfId="3" applyFont="1" applyFill="1" applyBorder="1"/>
    <xf numFmtId="0" fontId="95" fillId="14" borderId="49" xfId="3" applyFont="1" applyFill="1" applyBorder="1" applyAlignment="1">
      <alignment horizontal="center"/>
    </xf>
    <xf numFmtId="0" fontId="95" fillId="14" borderId="49" xfId="3" applyFont="1" applyFill="1" applyBorder="1"/>
    <xf numFmtId="164" fontId="52" fillId="19" borderId="0" xfId="0" applyNumberFormat="1" applyFont="1" applyFill="1"/>
    <xf numFmtId="164" fontId="72" fillId="0" borderId="0" xfId="0" applyNumberFormat="1" applyFont="1"/>
    <xf numFmtId="0" fontId="74" fillId="11" borderId="12" xfId="0" applyFont="1" applyFill="1" applyBorder="1" applyAlignment="1">
      <alignment horizontal="center" wrapText="1"/>
    </xf>
    <xf numFmtId="164" fontId="144" fillId="22" borderId="42" xfId="6" applyNumberFormat="1" applyFont="1" applyFill="1" applyBorder="1" applyAlignment="1">
      <alignment horizontal="right"/>
    </xf>
    <xf numFmtId="0" fontId="132" fillId="0" borderId="0" xfId="0" applyFont="1" applyAlignment="1">
      <alignment vertical="top" wrapText="1"/>
    </xf>
    <xf numFmtId="0" fontId="0" fillId="0" borderId="0" xfId="0" applyAlignment="1">
      <alignment vertical="top" wrapText="1"/>
    </xf>
    <xf numFmtId="0" fontId="25" fillId="11" borderId="0" xfId="0" applyFont="1" applyFill="1" applyAlignment="1">
      <alignment vertical="top" wrapText="1"/>
    </xf>
    <xf numFmtId="0" fontId="155" fillId="0" borderId="0" xfId="0" applyFont="1" applyAlignment="1">
      <alignment vertical="top" wrapText="1"/>
    </xf>
    <xf numFmtId="0" fontId="156" fillId="12" borderId="0" xfId="0" applyFont="1" applyFill="1" applyAlignment="1">
      <alignment vertical="top" wrapText="1"/>
    </xf>
    <xf numFmtId="0" fontId="15" fillId="0" borderId="0" xfId="0" applyFont="1" applyAlignment="1">
      <alignment vertical="top" wrapText="1"/>
    </xf>
    <xf numFmtId="0" fontId="157" fillId="0" borderId="0" xfId="0" applyFont="1" applyAlignment="1">
      <alignment vertical="top" wrapText="1"/>
    </xf>
    <xf numFmtId="0" fontId="158" fillId="0" borderId="0" xfId="0" applyFont="1" applyAlignment="1">
      <alignment vertical="top" wrapText="1"/>
    </xf>
    <xf numFmtId="0" fontId="19" fillId="11" borderId="0" xfId="0" applyFont="1" applyFill="1" applyAlignment="1">
      <alignment vertical="top" wrapText="1"/>
    </xf>
    <xf numFmtId="0" fontId="159" fillId="0" borderId="0" xfId="0" applyFont="1" applyAlignment="1">
      <alignment vertical="top" wrapText="1"/>
    </xf>
    <xf numFmtId="0" fontId="15" fillId="0" borderId="0" xfId="0" applyFont="1" applyAlignment="1">
      <alignment horizontal="center" vertical="top" wrapText="1"/>
    </xf>
    <xf numFmtId="0" fontId="160" fillId="0" borderId="0" xfId="0" applyFont="1" applyAlignment="1">
      <alignment vertical="top" wrapText="1"/>
    </xf>
    <xf numFmtId="0" fontId="76" fillId="0" borderId="0" xfId="0" applyFont="1" applyAlignment="1">
      <alignment vertical="top" wrapText="1"/>
    </xf>
    <xf numFmtId="0" fontId="161" fillId="0" borderId="0" xfId="0" applyFont="1" applyAlignment="1">
      <alignment vertical="top" wrapText="1"/>
    </xf>
    <xf numFmtId="0" fontId="163" fillId="0" borderId="0" xfId="0" applyFont="1" applyAlignment="1">
      <alignment vertical="top" wrapText="1"/>
    </xf>
    <xf numFmtId="0" fontId="162" fillId="0" borderId="0" xfId="0" applyFont="1" applyAlignment="1">
      <alignment vertical="top" wrapText="1"/>
    </xf>
    <xf numFmtId="0" fontId="139" fillId="0" borderId="0" xfId="0" applyFont="1" applyAlignment="1">
      <alignment vertical="top" wrapText="1"/>
    </xf>
    <xf numFmtId="2" fontId="95" fillId="0" borderId="0" xfId="0" applyNumberFormat="1" applyFont="1"/>
    <xf numFmtId="166" fontId="7" fillId="22" borderId="42" xfId="6" applyNumberFormat="1" applyFont="1" applyFill="1" applyBorder="1" applyAlignment="1">
      <alignment horizontal="right"/>
    </xf>
    <xf numFmtId="0" fontId="153" fillId="14" borderId="1" xfId="0" applyFont="1" applyFill="1" applyBorder="1" applyAlignment="1">
      <alignment horizontal="center" wrapText="1"/>
    </xf>
    <xf numFmtId="0" fontId="153" fillId="13" borderId="1" xfId="0" applyFont="1" applyFill="1" applyBorder="1" applyAlignment="1">
      <alignment horizontal="center" wrapText="1"/>
    </xf>
    <xf numFmtId="0" fontId="108" fillId="11" borderId="12" xfId="0" applyFont="1" applyFill="1" applyBorder="1" applyAlignment="1">
      <alignment horizontal="center"/>
    </xf>
    <xf numFmtId="0" fontId="88" fillId="0" borderId="0" xfId="0" applyFont="1" applyAlignment="1">
      <alignment horizontal="center"/>
    </xf>
    <xf numFmtId="0" fontId="138" fillId="13" borderId="0" xfId="0" applyFont="1" applyFill="1" applyAlignment="1">
      <alignment horizontal="center"/>
    </xf>
    <xf numFmtId="0" fontId="138" fillId="14" borderId="0" xfId="0" applyFont="1" applyFill="1" applyAlignment="1">
      <alignment horizontal="center"/>
    </xf>
    <xf numFmtId="18" fontId="55" fillId="14" borderId="22" xfId="0" applyNumberFormat="1" applyFont="1" applyFill="1" applyBorder="1" applyAlignment="1">
      <alignment horizontal="right" wrapText="1"/>
    </xf>
    <xf numFmtId="18" fontId="55" fillId="13" borderId="59" xfId="0" applyNumberFormat="1" applyFont="1" applyFill="1" applyBorder="1" applyAlignment="1">
      <alignment horizontal="right" wrapText="1"/>
    </xf>
    <xf numFmtId="18" fontId="140" fillId="13" borderId="12" xfId="0" applyNumberFormat="1" applyFont="1" applyFill="1" applyBorder="1" applyAlignment="1">
      <alignment horizontal="right" wrapText="1"/>
    </xf>
    <xf numFmtId="18" fontId="55" fillId="13" borderId="12" xfId="0" applyNumberFormat="1" applyFont="1" applyFill="1" applyBorder="1" applyAlignment="1">
      <alignment horizontal="right" wrapText="1"/>
    </xf>
    <xf numFmtId="18" fontId="55" fillId="13" borderId="22" xfId="0" applyNumberFormat="1" applyFont="1" applyFill="1" applyBorder="1" applyAlignment="1">
      <alignment horizontal="right" wrapText="1"/>
    </xf>
    <xf numFmtId="0" fontId="20" fillId="0" borderId="0" xfId="0" applyFont="1" applyAlignment="1">
      <alignment horizontal="right"/>
    </xf>
    <xf numFmtId="0" fontId="164" fillId="34" borderId="0" xfId="0" applyFont="1" applyFill="1"/>
    <xf numFmtId="0" fontId="15" fillId="0" borderId="0" xfId="0" applyFont="1" applyAlignment="1">
      <alignment horizontal="right"/>
    </xf>
    <xf numFmtId="1" fontId="132" fillId="0" borderId="58" xfId="0" applyNumberFormat="1" applyFont="1" applyBorder="1"/>
    <xf numFmtId="0" fontId="19" fillId="34" borderId="0" xfId="0" applyFont="1" applyFill="1"/>
    <xf numFmtId="0" fontId="132" fillId="0" borderId="60" xfId="0" applyFont="1" applyBorder="1"/>
    <xf numFmtId="1" fontId="132" fillId="0" borderId="60" xfId="0" applyNumberFormat="1" applyFont="1" applyBorder="1"/>
    <xf numFmtId="0" fontId="132" fillId="0" borderId="61" xfId="0" applyFont="1" applyBorder="1"/>
    <xf numFmtId="1" fontId="132" fillId="0" borderId="61" xfId="0" applyNumberFormat="1" applyFont="1" applyBorder="1"/>
    <xf numFmtId="0" fontId="133" fillId="0" borderId="62" xfId="0" applyFont="1" applyBorder="1"/>
    <xf numFmtId="0" fontId="133" fillId="0" borderId="63" xfId="0" applyFont="1" applyBorder="1"/>
    <xf numFmtId="0" fontId="133" fillId="0" borderId="64" xfId="0" applyFont="1" applyBorder="1"/>
    <xf numFmtId="0" fontId="132" fillId="0" borderId="65" xfId="0" applyFont="1" applyBorder="1"/>
    <xf numFmtId="0" fontId="132" fillId="0" borderId="66" xfId="0" applyFont="1" applyBorder="1"/>
    <xf numFmtId="0" fontId="132" fillId="0" borderId="67" xfId="0" applyFont="1" applyBorder="1"/>
    <xf numFmtId="0" fontId="31" fillId="39" borderId="0" xfId="0" applyFont="1" applyFill="1"/>
    <xf numFmtId="0" fontId="166" fillId="0" borderId="0" xfId="0" applyFont="1"/>
    <xf numFmtId="0" fontId="19" fillId="41" borderId="0" xfId="0" applyFont="1" applyFill="1" applyAlignment="1">
      <alignment horizontal="center"/>
    </xf>
    <xf numFmtId="0" fontId="19" fillId="41" borderId="0" xfId="0" applyFont="1" applyFill="1"/>
    <xf numFmtId="0" fontId="19" fillId="11" borderId="58" xfId="0" applyFont="1" applyFill="1" applyBorder="1" applyAlignment="1">
      <alignment horizontal="center"/>
    </xf>
    <xf numFmtId="0" fontId="0" fillId="0" borderId="58" xfId="0" applyBorder="1"/>
    <xf numFmtId="0" fontId="19" fillId="11" borderId="58" xfId="0" applyFont="1" applyFill="1" applyBorder="1"/>
    <xf numFmtId="0" fontId="19" fillId="41" borderId="58" xfId="0" applyFont="1" applyFill="1" applyBorder="1" applyAlignment="1">
      <alignment horizontal="center"/>
    </xf>
    <xf numFmtId="0" fontId="167" fillId="41" borderId="58" xfId="0" applyFont="1" applyFill="1" applyBorder="1" applyAlignment="1">
      <alignment horizontal="center"/>
    </xf>
    <xf numFmtId="0" fontId="132" fillId="0" borderId="58" xfId="0" applyFont="1" applyBorder="1" applyAlignment="1">
      <alignment horizontal="center"/>
    </xf>
    <xf numFmtId="0" fontId="161" fillId="0" borderId="58" xfId="0" applyFont="1" applyBorder="1" applyAlignment="1">
      <alignment horizontal="center"/>
    </xf>
    <xf numFmtId="0" fontId="133" fillId="0" borderId="58" xfId="0" applyFont="1" applyBorder="1" applyAlignment="1">
      <alignment horizontal="center"/>
    </xf>
    <xf numFmtId="0" fontId="0" fillId="0" borderId="58" xfId="0" applyBorder="1" applyAlignment="1">
      <alignment horizontal="center"/>
    </xf>
    <xf numFmtId="0" fontId="19" fillId="39" borderId="0" xfId="0" applyFont="1" applyFill="1"/>
    <xf numFmtId="0" fontId="19" fillId="39" borderId="0" xfId="0" applyFont="1" applyFill="1" applyAlignment="1">
      <alignment horizontal="center"/>
    </xf>
    <xf numFmtId="0" fontId="76" fillId="42" borderId="0" xfId="0" applyFont="1" applyFill="1"/>
    <xf numFmtId="0" fontId="133" fillId="42" borderId="0" xfId="0" applyFont="1" applyFill="1" applyAlignment="1">
      <alignment horizontal="center"/>
    </xf>
    <xf numFmtId="0" fontId="161" fillId="40" borderId="0" xfId="0" applyFont="1" applyFill="1" applyAlignment="1">
      <alignment horizontal="center"/>
    </xf>
    <xf numFmtId="0" fontId="95" fillId="19" borderId="0" xfId="0" applyFont="1" applyFill="1"/>
    <xf numFmtId="0" fontId="168" fillId="0" borderId="0" xfId="0" applyFont="1"/>
    <xf numFmtId="0" fontId="31" fillId="43" borderId="0" xfId="0" applyFont="1" applyFill="1"/>
    <xf numFmtId="0" fontId="80" fillId="0" borderId="0" xfId="0" applyFont="1" applyAlignment="1">
      <alignment horizontal="center"/>
    </xf>
    <xf numFmtId="0" fontId="80" fillId="0" borderId="12" xfId="0" applyFont="1" applyBorder="1"/>
    <xf numFmtId="18" fontId="140" fillId="13" borderId="1" xfId="0" applyNumberFormat="1" applyFont="1" applyFill="1" applyBorder="1" applyAlignment="1">
      <alignment horizontal="right" wrapText="1"/>
    </xf>
    <xf numFmtId="18" fontId="140" fillId="14" borderId="1" xfId="0" applyNumberFormat="1" applyFont="1" applyFill="1" applyBorder="1" applyAlignment="1">
      <alignment horizontal="right" wrapText="1"/>
    </xf>
    <xf numFmtId="18" fontId="140" fillId="14" borderId="13" xfId="0" applyNumberFormat="1" applyFont="1" applyFill="1" applyBorder="1" applyAlignment="1">
      <alignment horizontal="right" wrapText="1"/>
    </xf>
    <xf numFmtId="16" fontId="134" fillId="13" borderId="59" xfId="0" applyNumberFormat="1" applyFont="1" applyFill="1" applyBorder="1"/>
    <xf numFmtId="0" fontId="140" fillId="13" borderId="59" xfId="0" applyFont="1" applyFill="1" applyBorder="1" applyAlignment="1">
      <alignment horizontal="center" wrapText="1"/>
    </xf>
    <xf numFmtId="18" fontId="140" fillId="13" borderId="59" xfId="0" applyNumberFormat="1" applyFont="1" applyFill="1" applyBorder="1" applyAlignment="1">
      <alignment horizontal="right" wrapText="1"/>
    </xf>
    <xf numFmtId="0" fontId="157" fillId="0" borderId="0" xfId="0" applyFont="1"/>
    <xf numFmtId="0" fontId="169" fillId="34" borderId="0" xfId="0" applyFont="1" applyFill="1"/>
    <xf numFmtId="0" fontId="95" fillId="0" borderId="0" xfId="0" applyFont="1" applyAlignment="1">
      <alignment horizontal="center"/>
    </xf>
    <xf numFmtId="166" fontId="171" fillId="0" borderId="0" xfId="0" applyNumberFormat="1" applyFont="1"/>
    <xf numFmtId="166" fontId="172" fillId="0" borderId="0" xfId="0" applyNumberFormat="1" applyFont="1"/>
    <xf numFmtId="166" fontId="173" fillId="0" borderId="0" xfId="0" applyNumberFormat="1" applyFont="1"/>
    <xf numFmtId="0" fontId="92" fillId="39" borderId="0" xfId="0" applyFont="1" applyFill="1"/>
    <xf numFmtId="0" fontId="95" fillId="0" borderId="0" xfId="0" applyFont="1"/>
    <xf numFmtId="0" fontId="0" fillId="39" borderId="0" xfId="0" applyFill="1"/>
    <xf numFmtId="164" fontId="132" fillId="18" borderId="0" xfId="0" applyNumberFormat="1" applyFont="1" applyFill="1"/>
    <xf numFmtId="9" fontId="132" fillId="18" borderId="0" xfId="0" applyNumberFormat="1" applyFont="1" applyFill="1"/>
    <xf numFmtId="1" fontId="132" fillId="18" borderId="0" xfId="0" applyNumberFormat="1" applyFont="1" applyFill="1"/>
    <xf numFmtId="166" fontId="133" fillId="0" borderId="0" xfId="0" applyNumberFormat="1" applyFont="1"/>
    <xf numFmtId="0" fontId="32" fillId="44" borderId="0" xfId="0" applyFont="1" applyFill="1"/>
    <xf numFmtId="0" fontId="15" fillId="45" borderId="0" xfId="0" applyFont="1" applyFill="1"/>
    <xf numFmtId="0" fontId="15" fillId="45" borderId="0" xfId="0" applyFont="1" applyFill="1" applyAlignment="1">
      <alignment horizontal="center"/>
    </xf>
    <xf numFmtId="0" fontId="15" fillId="34" borderId="0" xfId="0" applyFont="1" applyFill="1" applyAlignment="1">
      <alignment horizontal="center"/>
    </xf>
    <xf numFmtId="0" fontId="132" fillId="34" borderId="0" xfId="0" applyFont="1" applyFill="1" applyAlignment="1">
      <alignment horizontal="center"/>
    </xf>
    <xf numFmtId="0" fontId="15" fillId="29" borderId="0" xfId="0" applyFont="1" applyFill="1" applyAlignment="1">
      <alignment horizontal="center"/>
    </xf>
    <xf numFmtId="166" fontId="15" fillId="0" borderId="0" xfId="0" applyNumberFormat="1" applyFont="1"/>
    <xf numFmtId="166" fontId="15" fillId="29" borderId="0" xfId="0" applyNumberFormat="1" applyFont="1" applyFill="1"/>
    <xf numFmtId="166" fontId="132" fillId="34" borderId="0" xfId="0" applyNumberFormat="1" applyFont="1" applyFill="1"/>
    <xf numFmtId="0" fontId="19" fillId="46" borderId="0" xfId="0" applyFont="1" applyFill="1"/>
    <xf numFmtId="0" fontId="20" fillId="0" borderId="0" xfId="0" applyFont="1"/>
    <xf numFmtId="0" fontId="15" fillId="47" borderId="0" xfId="0" applyFont="1" applyFill="1" applyAlignment="1">
      <alignment horizontal="center"/>
    </xf>
    <xf numFmtId="171" fontId="0" fillId="0" borderId="0" xfId="0" applyNumberFormat="1"/>
    <xf numFmtId="9" fontId="0" fillId="0" borderId="0" xfId="7" applyFont="1"/>
    <xf numFmtId="166" fontId="120" fillId="0" borderId="0" xfId="0" applyNumberFormat="1" applyFont="1" applyAlignment="1">
      <alignment horizontal="center"/>
    </xf>
    <xf numFmtId="0" fontId="120" fillId="0" borderId="0" xfId="0" applyFont="1" applyAlignment="1">
      <alignment horizontal="center"/>
    </xf>
    <xf numFmtId="164" fontId="52" fillId="0" borderId="0" xfId="0" applyNumberFormat="1" applyFont="1"/>
    <xf numFmtId="0" fontId="172" fillId="0" borderId="0" xfId="0" applyFont="1"/>
    <xf numFmtId="0" fontId="122" fillId="10" borderId="0" xfId="0" applyFont="1" applyFill="1"/>
    <xf numFmtId="1" fontId="88" fillId="0" borderId="0" xfId="1" applyNumberFormat="1" applyFont="1"/>
    <xf numFmtId="1" fontId="95" fillId="0" borderId="0" xfId="0" applyNumberFormat="1" applyFont="1" applyAlignment="1">
      <alignment horizontal="center"/>
    </xf>
    <xf numFmtId="1" fontId="37" fillId="0" borderId="0" xfId="0" applyNumberFormat="1" applyFont="1" applyAlignment="1">
      <alignment horizontal="center"/>
    </xf>
    <xf numFmtId="0" fontId="176" fillId="0" borderId="0" xfId="0" applyFont="1"/>
    <xf numFmtId="172" fontId="0" fillId="0" borderId="0" xfId="0" applyNumberFormat="1"/>
    <xf numFmtId="173" fontId="133" fillId="0" borderId="0" xfId="0" applyNumberFormat="1" applyFont="1"/>
    <xf numFmtId="0" fontId="177" fillId="13" borderId="0" xfId="0" applyFont="1" applyFill="1"/>
    <xf numFmtId="0" fontId="165" fillId="0" borderId="0" xfId="0" applyFont="1"/>
    <xf numFmtId="0" fontId="178" fillId="31" borderId="0" xfId="0" applyFont="1" applyFill="1" applyAlignment="1">
      <alignment horizontal="center"/>
    </xf>
    <xf numFmtId="0" fontId="173" fillId="31" borderId="0" xfId="0" applyFont="1" applyFill="1"/>
    <xf numFmtId="0" fontId="178" fillId="0" borderId="0" xfId="0" applyFont="1" applyAlignment="1">
      <alignment horizontal="center"/>
    </xf>
    <xf numFmtId="0" fontId="173" fillId="0" borderId="0" xfId="0" applyFont="1"/>
    <xf numFmtId="0" fontId="173" fillId="0" borderId="0" xfId="0" applyFont="1" applyAlignment="1">
      <alignment horizontal="center"/>
    </xf>
    <xf numFmtId="1" fontId="133" fillId="0" borderId="0" xfId="0" applyNumberFormat="1" applyFont="1" applyAlignment="1">
      <alignment horizontal="center"/>
    </xf>
    <xf numFmtId="0" fontId="179" fillId="0" borderId="0" xfId="0" applyFont="1"/>
    <xf numFmtId="0" fontId="0" fillId="0" borderId="12" xfId="2" applyFont="1" applyAlignment="1">
      <alignment horizontal="left" vertical="top"/>
    </xf>
    <xf numFmtId="0" fontId="133" fillId="0" borderId="68" xfId="0" applyFont="1" applyBorder="1"/>
    <xf numFmtId="0" fontId="80" fillId="0" borderId="68" xfId="0" applyFont="1" applyBorder="1"/>
    <xf numFmtId="0" fontId="132" fillId="0" borderId="68" xfId="0" applyFont="1" applyBorder="1"/>
    <xf numFmtId="0" fontId="132" fillId="14" borderId="0" xfId="0" applyFont="1" applyFill="1"/>
    <xf numFmtId="0" fontId="28" fillId="11" borderId="12" xfId="0" applyFont="1" applyFill="1" applyBorder="1" applyAlignment="1">
      <alignment horizontal="center" wrapText="1"/>
    </xf>
    <xf numFmtId="0" fontId="180" fillId="4" borderId="14" xfId="0" applyFont="1" applyFill="1" applyBorder="1" applyAlignment="1">
      <alignment wrapText="1"/>
    </xf>
    <xf numFmtId="0" fontId="180" fillId="4" borderId="16" xfId="0" applyFont="1" applyFill="1" applyBorder="1" applyAlignment="1">
      <alignment wrapText="1"/>
    </xf>
    <xf numFmtId="0" fontId="37" fillId="37" borderId="0" xfId="0" applyFont="1" applyFill="1" applyAlignment="1">
      <alignment horizontal="center"/>
    </xf>
    <xf numFmtId="0" fontId="92" fillId="48" borderId="0" xfId="0" applyFont="1" applyFill="1"/>
    <xf numFmtId="0" fontId="122" fillId="49" borderId="0" xfId="0" applyFont="1" applyFill="1"/>
    <xf numFmtId="0" fontId="74" fillId="11" borderId="0" xfId="0" applyFont="1" applyFill="1" applyAlignment="1">
      <alignment horizontal="center"/>
    </xf>
    <xf numFmtId="166" fontId="0" fillId="0" borderId="0" xfId="0" applyNumberFormat="1" applyAlignment="1">
      <alignment horizontal="center"/>
    </xf>
    <xf numFmtId="166" fontId="174" fillId="31" borderId="0" xfId="0" applyNumberFormat="1" applyFont="1" applyFill="1" applyAlignment="1">
      <alignment horizontal="center"/>
    </xf>
    <xf numFmtId="164" fontId="0" fillId="0" borderId="0" xfId="0" applyNumberFormat="1" applyAlignment="1">
      <alignment horizontal="center"/>
    </xf>
    <xf numFmtId="169" fontId="133" fillId="0" borderId="0" xfId="0" applyNumberFormat="1" applyFont="1"/>
    <xf numFmtId="169" fontId="88" fillId="0" borderId="0" xfId="0" applyNumberFormat="1" applyFont="1"/>
    <xf numFmtId="0" fontId="55" fillId="13" borderId="70" xfId="0" applyFont="1" applyFill="1" applyBorder="1" applyAlignment="1">
      <alignment horizontal="center" wrapText="1"/>
    </xf>
    <xf numFmtId="0" fontId="79" fillId="13" borderId="69" xfId="0" applyFont="1" applyFill="1" applyBorder="1"/>
    <xf numFmtId="0" fontId="79" fillId="13" borderId="70" xfId="0" applyFont="1" applyFill="1" applyBorder="1"/>
    <xf numFmtId="0" fontId="153" fillId="0" borderId="69" xfId="0" applyFont="1" applyBorder="1" applyAlignment="1">
      <alignment horizontal="center"/>
    </xf>
    <xf numFmtId="0" fontId="55" fillId="14" borderId="71" xfId="0" applyFont="1" applyFill="1" applyBorder="1" applyAlignment="1">
      <alignment horizontal="center" wrapText="1"/>
    </xf>
    <xf numFmtId="0" fontId="79" fillId="14" borderId="71" xfId="0" applyFont="1" applyFill="1" applyBorder="1"/>
    <xf numFmtId="0" fontId="153" fillId="0" borderId="71" xfId="0" applyFont="1" applyBorder="1" applyAlignment="1">
      <alignment horizontal="center"/>
    </xf>
    <xf numFmtId="0" fontId="55" fillId="13" borderId="71" xfId="0" applyFont="1" applyFill="1" applyBorder="1" applyAlignment="1">
      <alignment horizontal="center" wrapText="1"/>
    </xf>
    <xf numFmtId="0" fontId="79" fillId="13" borderId="71" xfId="0" applyFont="1" applyFill="1" applyBorder="1"/>
    <xf numFmtId="16" fontId="134" fillId="14" borderId="22" xfId="0" applyNumberFormat="1" applyFont="1" applyFill="1" applyBorder="1"/>
    <xf numFmtId="0" fontId="140" fillId="14" borderId="22" xfId="0" applyFont="1" applyFill="1" applyBorder="1" applyAlignment="1">
      <alignment horizontal="center" wrapText="1"/>
    </xf>
    <xf numFmtId="18" fontId="140" fillId="14" borderId="22" xfId="0" applyNumberFormat="1" applyFont="1" applyFill="1" applyBorder="1" applyAlignment="1">
      <alignment horizontal="right" wrapText="1"/>
    </xf>
    <xf numFmtId="16" fontId="134" fillId="13" borderId="1" xfId="0" applyNumberFormat="1" applyFont="1" applyFill="1" applyBorder="1"/>
    <xf numFmtId="16" fontId="134" fillId="13" borderId="22" xfId="0" applyNumberFormat="1" applyFont="1" applyFill="1" applyBorder="1"/>
    <xf numFmtId="0" fontId="140" fillId="13" borderId="22" xfId="0" applyFont="1" applyFill="1" applyBorder="1" applyAlignment="1">
      <alignment horizontal="center" wrapText="1"/>
    </xf>
    <xf numFmtId="16" fontId="134" fillId="14" borderId="1" xfId="0" applyNumberFormat="1" applyFont="1" applyFill="1" applyBorder="1"/>
    <xf numFmtId="0" fontId="181" fillId="0" borderId="0" xfId="0" applyFont="1"/>
    <xf numFmtId="0" fontId="19" fillId="50" borderId="58" xfId="0" applyFont="1" applyFill="1" applyBorder="1" applyAlignment="1">
      <alignment horizontal="center" vertical="top"/>
    </xf>
    <xf numFmtId="0" fontId="19" fillId="50" borderId="58" xfId="0" applyFont="1" applyFill="1" applyBorder="1" applyAlignment="1">
      <alignment vertical="top"/>
    </xf>
    <xf numFmtId="0" fontId="0" fillId="0" borderId="58" xfId="0" applyBorder="1" applyAlignment="1">
      <alignment horizontal="center" vertical="top"/>
    </xf>
    <xf numFmtId="0" fontId="0" fillId="0" borderId="58" xfId="0" applyBorder="1" applyAlignment="1">
      <alignment vertical="top" wrapText="1"/>
    </xf>
    <xf numFmtId="0" fontId="0" fillId="0" borderId="58" xfId="0" applyBorder="1" applyAlignment="1">
      <alignment vertical="top"/>
    </xf>
    <xf numFmtId="0" fontId="0" fillId="0" borderId="58" xfId="0" quotePrefix="1" applyBorder="1" applyAlignment="1">
      <alignment vertical="top" wrapText="1"/>
    </xf>
    <xf numFmtId="0" fontId="0" fillId="34" borderId="58" xfId="0" applyFill="1" applyBorder="1" applyAlignment="1">
      <alignment horizontal="center" vertical="top"/>
    </xf>
    <xf numFmtId="0" fontId="0" fillId="37" borderId="58" xfId="0" applyFill="1" applyBorder="1" applyAlignment="1">
      <alignment horizontal="center" vertical="top"/>
    </xf>
    <xf numFmtId="0" fontId="0" fillId="36" borderId="58" xfId="0" applyFill="1" applyBorder="1" applyAlignment="1">
      <alignment horizontal="center" vertical="top"/>
    </xf>
    <xf numFmtId="0" fontId="182" fillId="0" borderId="0" xfId="0" applyFont="1"/>
    <xf numFmtId="0" fontId="184" fillId="0" borderId="0" xfId="8" applyFont="1"/>
    <xf numFmtId="0" fontId="185" fillId="11" borderId="0" xfId="0" applyFont="1" applyFill="1"/>
    <xf numFmtId="0" fontId="184" fillId="0" borderId="0" xfId="0" applyFont="1"/>
    <xf numFmtId="0" fontId="184" fillId="12" borderId="0" xfId="0" applyFont="1" applyFill="1"/>
    <xf numFmtId="0" fontId="186" fillId="0" borderId="0" xfId="0" applyFont="1" applyAlignment="1">
      <alignment vertical="top" wrapText="1"/>
    </xf>
    <xf numFmtId="0" fontId="139" fillId="0" borderId="0" xfId="0" quotePrefix="1" applyFont="1" applyAlignment="1">
      <alignment vertical="top" wrapText="1"/>
    </xf>
    <xf numFmtId="0" fontId="169" fillId="14" borderId="12" xfId="2" applyFont="1" applyFill="1" applyAlignment="1">
      <alignment horizontal="left" vertical="top"/>
    </xf>
    <xf numFmtId="174" fontId="189" fillId="0" borderId="0" xfId="0" applyNumberFormat="1" applyFont="1"/>
    <xf numFmtId="18" fontId="189" fillId="0" borderId="0" xfId="0" applyNumberFormat="1" applyFont="1"/>
    <xf numFmtId="0" fontId="27" fillId="12" borderId="12" xfId="0" applyFont="1" applyFill="1" applyBorder="1"/>
    <xf numFmtId="0" fontId="29" fillId="6" borderId="12" xfId="0" applyFont="1" applyFill="1" applyBorder="1"/>
    <xf numFmtId="0" fontId="112" fillId="11" borderId="12" xfId="0" applyFont="1" applyFill="1" applyBorder="1"/>
    <xf numFmtId="0" fontId="113" fillId="11" borderId="12" xfId="0" applyFont="1" applyFill="1" applyBorder="1" applyAlignment="1">
      <alignment horizontal="center" wrapText="1"/>
    </xf>
    <xf numFmtId="0" fontId="7" fillId="13" borderId="1" xfId="0" applyFont="1" applyFill="1" applyBorder="1" applyAlignment="1">
      <alignment horizontal="center" wrapText="1"/>
    </xf>
    <xf numFmtId="0" fontId="7" fillId="14" borderId="1" xfId="0" applyFont="1" applyFill="1" applyBorder="1" applyAlignment="1">
      <alignment horizontal="center" wrapText="1"/>
    </xf>
    <xf numFmtId="0" fontId="137" fillId="2" borderId="12" xfId="0" applyFont="1" applyFill="1" applyBorder="1"/>
    <xf numFmtId="0" fontId="138" fillId="2" borderId="12" xfId="0" applyFont="1" applyFill="1" applyBorder="1"/>
    <xf numFmtId="0" fontId="5" fillId="0" borderId="6" xfId="0" applyFont="1" applyBorder="1"/>
    <xf numFmtId="0" fontId="79" fillId="0" borderId="7" xfId="0" applyFont="1" applyBorder="1"/>
    <xf numFmtId="0" fontId="5" fillId="0" borderId="8" xfId="0" applyFont="1" applyBorder="1"/>
    <xf numFmtId="0" fontId="79" fillId="0" borderId="9" xfId="0" applyFont="1" applyBorder="1"/>
    <xf numFmtId="0" fontId="112" fillId="11" borderId="12" xfId="0" applyFont="1" applyFill="1" applyBorder="1" applyAlignment="1">
      <alignment horizontal="center"/>
    </xf>
    <xf numFmtId="0" fontId="108" fillId="18" borderId="12" xfId="0" applyFont="1" applyFill="1" applyBorder="1"/>
    <xf numFmtId="0" fontId="79" fillId="13" borderId="12" xfId="0" applyFont="1" applyFill="1" applyBorder="1"/>
    <xf numFmtId="0" fontId="11" fillId="4" borderId="12" xfId="0" applyFont="1" applyFill="1" applyBorder="1"/>
    <xf numFmtId="0" fontId="79" fillId="14" borderId="12" xfId="0" applyFont="1" applyFill="1" applyBorder="1"/>
    <xf numFmtId="0" fontId="112" fillId="21" borderId="12" xfId="0" applyFont="1" applyFill="1" applyBorder="1"/>
    <xf numFmtId="0" fontId="143" fillId="21" borderId="12" xfId="0" applyFont="1" applyFill="1" applyBorder="1" applyAlignment="1">
      <alignment horizontal="center"/>
    </xf>
    <xf numFmtId="0" fontId="77" fillId="12" borderId="12" xfId="0" applyFont="1" applyFill="1" applyBorder="1"/>
    <xf numFmtId="0" fontId="77" fillId="12" borderId="12" xfId="0" applyFont="1" applyFill="1" applyBorder="1" applyAlignment="1">
      <alignment horizontal="center"/>
    </xf>
    <xf numFmtId="0" fontId="134" fillId="13" borderId="12" xfId="0" applyFont="1" applyFill="1" applyBorder="1"/>
    <xf numFmtId="0" fontId="79" fillId="0" borderId="2" xfId="0" applyFont="1" applyBorder="1"/>
    <xf numFmtId="0" fontId="134" fillId="0" borderId="2" xfId="0" applyFont="1" applyBorder="1" applyAlignment="1">
      <alignment horizontal="center"/>
    </xf>
    <xf numFmtId="0" fontId="79" fillId="0" borderId="2" xfId="0" applyFont="1" applyBorder="1" applyAlignment="1">
      <alignment horizontal="center"/>
    </xf>
    <xf numFmtId="0" fontId="134" fillId="0" borderId="7" xfId="0" applyFont="1" applyBorder="1"/>
    <xf numFmtId="0" fontId="134" fillId="0" borderId="9" xfId="0" applyFont="1" applyBorder="1"/>
    <xf numFmtId="0" fontId="30" fillId="11" borderId="12" xfId="0" applyFont="1" applyFill="1" applyBorder="1"/>
    <xf numFmtId="0" fontId="0" fillId="0" borderId="12" xfId="0" applyBorder="1"/>
    <xf numFmtId="0" fontId="85" fillId="34" borderId="19" xfId="2" applyFont="1" applyFill="1" applyBorder="1" applyAlignment="1">
      <alignment horizontal="center" vertical="center" wrapText="1"/>
    </xf>
    <xf numFmtId="1" fontId="85" fillId="18" borderId="21" xfId="2" applyNumberFormat="1" applyFont="1" applyFill="1" applyBorder="1" applyAlignment="1">
      <alignment horizontal="center" vertical="center"/>
    </xf>
    <xf numFmtId="0" fontId="153" fillId="13" borderId="59" xfId="0" applyFont="1" applyFill="1" applyBorder="1" applyAlignment="1">
      <alignment horizontal="center" wrapText="1"/>
    </xf>
    <xf numFmtId="0" fontId="55" fillId="13" borderId="59" xfId="0" applyFont="1" applyFill="1" applyBorder="1" applyAlignment="1">
      <alignment horizontal="center" wrapText="1"/>
    </xf>
    <xf numFmtId="0" fontId="7" fillId="13" borderId="59" xfId="0" applyFont="1" applyFill="1" applyBorder="1" applyAlignment="1">
      <alignment horizontal="center" wrapText="1"/>
    </xf>
    <xf numFmtId="0" fontId="55" fillId="13" borderId="72" xfId="0" applyFont="1" applyFill="1" applyBorder="1" applyAlignment="1">
      <alignment horizontal="center" wrapText="1"/>
    </xf>
    <xf numFmtId="0" fontId="79" fillId="13" borderId="72" xfId="0" applyFont="1" applyFill="1" applyBorder="1"/>
    <xf numFmtId="0" fontId="153" fillId="0" borderId="72" xfId="0" applyFont="1" applyBorder="1" applyAlignment="1">
      <alignment horizontal="center"/>
    </xf>
    <xf numFmtId="0" fontId="15" fillId="0" borderId="35" xfId="0" applyFont="1" applyBorder="1"/>
    <xf numFmtId="1" fontId="15" fillId="0" borderId="35" xfId="0" applyNumberFormat="1" applyFont="1" applyBorder="1"/>
    <xf numFmtId="166" fontId="15" fillId="0" borderId="35" xfId="0" applyNumberFormat="1" applyFont="1" applyBorder="1"/>
    <xf numFmtId="9" fontId="0" fillId="0" borderId="0" xfId="0" applyNumberFormat="1"/>
    <xf numFmtId="0" fontId="5" fillId="0" borderId="73" xfId="6" applyFont="1" applyBorder="1"/>
    <xf numFmtId="44" fontId="134" fillId="0" borderId="12" xfId="6" applyNumberFormat="1" applyFont="1"/>
    <xf numFmtId="0" fontId="35" fillId="0" borderId="2" xfId="6" applyBorder="1"/>
    <xf numFmtId="0" fontId="107" fillId="0" borderId="0" xfId="0" applyFont="1"/>
    <xf numFmtId="166" fontId="190" fillId="22" borderId="42" xfId="6" applyNumberFormat="1" applyFont="1" applyFill="1" applyBorder="1" applyAlignment="1">
      <alignment horizontal="right"/>
    </xf>
    <xf numFmtId="0" fontId="104" fillId="51" borderId="0" xfId="0" applyFont="1" applyFill="1"/>
    <xf numFmtId="0" fontId="92" fillId="51" borderId="0" xfId="0" applyFont="1" applyFill="1"/>
    <xf numFmtId="0" fontId="0" fillId="51" borderId="0" xfId="0" applyFill="1"/>
    <xf numFmtId="0" fontId="109" fillId="51" borderId="0" xfId="0" applyFont="1" applyFill="1"/>
    <xf numFmtId="0" fontId="92" fillId="52" borderId="0" xfId="0" applyFont="1" applyFill="1"/>
    <xf numFmtId="0" fontId="0" fillId="52" borderId="0" xfId="0" applyFill="1"/>
    <xf numFmtId="0" fontId="72" fillId="10" borderId="0" xfId="0" applyFont="1" applyFill="1"/>
    <xf numFmtId="0" fontId="72" fillId="10" borderId="0" xfId="0" applyFont="1" applyFill="1" applyAlignment="1">
      <alignment horizontal="center"/>
    </xf>
    <xf numFmtId="0" fontId="37" fillId="13" borderId="0" xfId="0" applyFont="1" applyFill="1"/>
    <xf numFmtId="0" fontId="168" fillId="13" borderId="0" xfId="0" applyFont="1" applyFill="1" applyAlignment="1">
      <alignment horizontal="center"/>
    </xf>
    <xf numFmtId="166" fontId="37" fillId="13" borderId="0" xfId="0" applyNumberFormat="1" applyFont="1" applyFill="1"/>
    <xf numFmtId="0" fontId="0" fillId="10" borderId="0" xfId="0" applyFill="1"/>
    <xf numFmtId="166" fontId="72" fillId="10" borderId="0" xfId="0" applyNumberFormat="1" applyFont="1" applyFill="1"/>
    <xf numFmtId="172" fontId="72" fillId="10" borderId="0" xfId="0" applyNumberFormat="1" applyFont="1" applyFill="1"/>
    <xf numFmtId="169" fontId="72" fillId="10" borderId="0" xfId="0" applyNumberFormat="1" applyFont="1" applyFill="1"/>
    <xf numFmtId="0" fontId="72" fillId="13" borderId="0" xfId="0" applyFont="1" applyFill="1"/>
    <xf numFmtId="169" fontId="72" fillId="13" borderId="0" xfId="0" applyNumberFormat="1" applyFont="1" applyFill="1"/>
    <xf numFmtId="173" fontId="72" fillId="10" borderId="0" xfId="0" applyNumberFormat="1" applyFont="1" applyFill="1"/>
    <xf numFmtId="0" fontId="72" fillId="53" borderId="0" xfId="0" applyFont="1" applyFill="1"/>
    <xf numFmtId="166" fontId="72" fillId="53" borderId="0" xfId="0" applyNumberFormat="1" applyFont="1" applyFill="1"/>
    <xf numFmtId="172" fontId="72" fillId="53" borderId="0" xfId="0" applyNumberFormat="1" applyFont="1" applyFill="1"/>
    <xf numFmtId="167" fontId="72" fillId="53" borderId="0" xfId="0" applyNumberFormat="1" applyFont="1" applyFill="1"/>
    <xf numFmtId="1" fontId="175" fillId="53" borderId="0" xfId="0" applyNumberFormat="1" applyFont="1" applyFill="1"/>
    <xf numFmtId="166" fontId="52" fillId="53" borderId="0" xfId="1" applyNumberFormat="1" applyFont="1" applyFill="1"/>
    <xf numFmtId="166" fontId="175" fillId="53" borderId="0" xfId="1" applyNumberFormat="1" applyFont="1" applyFill="1"/>
    <xf numFmtId="166" fontId="52" fillId="53" borderId="0" xfId="0" applyNumberFormat="1" applyFont="1" applyFill="1"/>
    <xf numFmtId="173" fontId="132" fillId="53" borderId="0" xfId="0" applyNumberFormat="1" applyFont="1" applyFill="1"/>
    <xf numFmtId="1" fontId="52" fillId="53" borderId="0" xfId="0" applyNumberFormat="1" applyFont="1" applyFill="1" applyAlignment="1">
      <alignment horizontal="center"/>
    </xf>
    <xf numFmtId="166" fontId="88" fillId="0" borderId="0" xfId="0" applyNumberFormat="1" applyFont="1"/>
    <xf numFmtId="166" fontId="37" fillId="0" borderId="0" xfId="0" applyNumberFormat="1" applyFont="1"/>
    <xf numFmtId="0" fontId="37" fillId="10" borderId="0" xfId="0" applyFont="1" applyFill="1"/>
    <xf numFmtId="0" fontId="37" fillId="10" borderId="0" xfId="0" applyFont="1" applyFill="1" applyAlignment="1">
      <alignment horizontal="right"/>
    </xf>
    <xf numFmtId="175" fontId="52" fillId="53" borderId="0" xfId="0" applyNumberFormat="1" applyFont="1" applyFill="1"/>
    <xf numFmtId="175" fontId="0" fillId="0" borderId="0" xfId="0" applyNumberFormat="1"/>
    <xf numFmtId="0" fontId="0" fillId="0" borderId="0" xfId="0" applyAlignment="1">
      <alignment horizontal="right"/>
    </xf>
    <xf numFmtId="1" fontId="52" fillId="53" borderId="0" xfId="0" applyNumberFormat="1" applyFont="1" applyFill="1"/>
    <xf numFmtId="175" fontId="37" fillId="10" borderId="0" xfId="0" applyNumberFormat="1" applyFont="1" applyFill="1"/>
    <xf numFmtId="1" fontId="95" fillId="0" borderId="0" xfId="0" applyNumberFormat="1" applyFont="1"/>
    <xf numFmtId="1" fontId="37" fillId="10" borderId="0" xfId="0" applyNumberFormat="1" applyFont="1" applyFill="1"/>
    <xf numFmtId="1" fontId="107" fillId="0" borderId="0" xfId="0" applyNumberFormat="1" applyFont="1"/>
    <xf numFmtId="1" fontId="191" fillId="53" borderId="0" xfId="0" applyNumberFormat="1" applyFont="1" applyFill="1"/>
    <xf numFmtId="175" fontId="107" fillId="0" borderId="0" xfId="0" applyNumberFormat="1" applyFont="1"/>
    <xf numFmtId="0" fontId="193" fillId="51" borderId="0" xfId="0" applyFont="1" applyFill="1"/>
    <xf numFmtId="0" fontId="37" fillId="53" borderId="0" xfId="0" applyFont="1" applyFill="1"/>
    <xf numFmtId="175" fontId="37" fillId="53" borderId="0" xfId="0" applyNumberFormat="1" applyFont="1" applyFill="1"/>
    <xf numFmtId="167" fontId="107" fillId="0" borderId="0" xfId="0" applyNumberFormat="1" applyFont="1"/>
    <xf numFmtId="0" fontId="183" fillId="0" borderId="0" xfId="8"/>
    <xf numFmtId="0" fontId="192" fillId="51" borderId="0" xfId="0" applyFont="1" applyFill="1"/>
    <xf numFmtId="176" fontId="95" fillId="0" borderId="0" xfId="0" applyNumberFormat="1" applyFont="1"/>
    <xf numFmtId="176" fontId="168" fillId="53" borderId="0" xfId="0" applyNumberFormat="1" applyFont="1" applyFill="1"/>
    <xf numFmtId="176" fontId="37" fillId="10" borderId="0" xfId="0" applyNumberFormat="1" applyFont="1" applyFill="1"/>
    <xf numFmtId="0" fontId="194" fillId="0" borderId="45" xfId="6" applyFont="1" applyBorder="1"/>
    <xf numFmtId="0" fontId="194" fillId="0" borderId="2" xfId="6" applyFont="1" applyBorder="1"/>
    <xf numFmtId="0" fontId="194" fillId="0" borderId="73" xfId="6" applyFont="1" applyBorder="1"/>
    <xf numFmtId="0" fontId="120" fillId="0" borderId="2" xfId="6" applyFont="1" applyBorder="1"/>
    <xf numFmtId="0" fontId="71" fillId="52" borderId="0" xfId="0" applyFont="1" applyFill="1"/>
    <xf numFmtId="0" fontId="15" fillId="10" borderId="0" xfId="0" applyFont="1" applyFill="1" applyAlignment="1">
      <alignment horizontal="right"/>
    </xf>
    <xf numFmtId="1" fontId="132" fillId="53" borderId="0" xfId="0" applyNumberFormat="1" applyFont="1" applyFill="1"/>
    <xf numFmtId="175" fontId="132" fillId="53" borderId="0" xfId="0" applyNumberFormat="1" applyFont="1" applyFill="1"/>
    <xf numFmtId="1" fontId="132" fillId="34" borderId="0" xfId="0" applyNumberFormat="1" applyFont="1" applyFill="1"/>
    <xf numFmtId="175" fontId="132" fillId="34" borderId="0" xfId="0" applyNumberFormat="1" applyFont="1" applyFill="1"/>
    <xf numFmtId="175" fontId="0" fillId="34" borderId="0" xfId="0" applyNumberFormat="1" applyFill="1"/>
    <xf numFmtId="167" fontId="0" fillId="34" borderId="0" xfId="0" applyNumberFormat="1" applyFill="1"/>
    <xf numFmtId="167" fontId="132" fillId="53" borderId="0" xfId="0" applyNumberFormat="1" applyFont="1" applyFill="1"/>
    <xf numFmtId="175" fontId="88" fillId="13" borderId="0" xfId="0" applyNumberFormat="1" applyFont="1" applyFill="1"/>
    <xf numFmtId="0" fontId="38" fillId="0" borderId="0" xfId="0" applyFont="1"/>
    <xf numFmtId="0" fontId="31" fillId="11" borderId="0" xfId="0" applyFont="1" applyFill="1"/>
    <xf numFmtId="0" fontId="76" fillId="11" borderId="0" xfId="0" applyFont="1" applyFill="1"/>
    <xf numFmtId="0" fontId="88" fillId="54" borderId="0" xfId="0" applyFont="1" applyFill="1" applyAlignment="1">
      <alignment horizontal="center"/>
    </xf>
    <xf numFmtId="0" fontId="19" fillId="39" borderId="0" xfId="0" applyFont="1" applyFill="1" applyAlignment="1">
      <alignment horizontal="center" vertical="center"/>
    </xf>
    <xf numFmtId="0" fontId="170" fillId="55" borderId="0" xfId="0" applyFont="1" applyFill="1" applyAlignment="1">
      <alignment horizontal="center" vertical="center"/>
    </xf>
    <xf numFmtId="0" fontId="195" fillId="0" borderId="0" xfId="0" applyFont="1"/>
    <xf numFmtId="0" fontId="196" fillId="0" borderId="0" xfId="0" applyFont="1"/>
    <xf numFmtId="0" fontId="120" fillId="0" borderId="0" xfId="0" applyFont="1"/>
    <xf numFmtId="164" fontId="120" fillId="0" borderId="0" xfId="0" applyNumberFormat="1" applyFont="1"/>
    <xf numFmtId="168" fontId="120" fillId="0" borderId="0" xfId="0" applyNumberFormat="1" applyFont="1"/>
    <xf numFmtId="0" fontId="197" fillId="0" borderId="0" xfId="8" applyFont="1"/>
    <xf numFmtId="0" fontId="138" fillId="13" borderId="6" xfId="0" applyFont="1" applyFill="1" applyBorder="1"/>
    <xf numFmtId="0" fontId="138" fillId="14" borderId="6" xfId="0" applyFont="1" applyFill="1" applyBorder="1"/>
    <xf numFmtId="0" fontId="138" fillId="13" borderId="8" xfId="0" applyFont="1" applyFill="1" applyBorder="1"/>
    <xf numFmtId="0" fontId="198" fillId="0" borderId="0" xfId="0" applyFont="1"/>
    <xf numFmtId="0" fontId="199" fillId="0" borderId="0" xfId="0" applyFont="1"/>
    <xf numFmtId="0" fontId="200" fillId="11" borderId="12" xfId="0" applyFont="1" applyFill="1" applyBorder="1"/>
    <xf numFmtId="10" fontId="52" fillId="19" borderId="0" xfId="0" applyNumberFormat="1" applyFont="1" applyFill="1"/>
    <xf numFmtId="167" fontId="95" fillId="18" borderId="0" xfId="0" applyNumberFormat="1" applyFont="1" applyFill="1"/>
    <xf numFmtId="166" fontId="201" fillId="0" borderId="12" xfId="6" applyNumberFormat="1" applyFont="1"/>
    <xf numFmtId="0" fontId="198" fillId="0" borderId="12" xfId="6" applyFont="1"/>
    <xf numFmtId="0" fontId="202" fillId="0" borderId="0" xfId="0" applyFont="1"/>
    <xf numFmtId="0" fontId="203" fillId="0" borderId="0" xfId="0" applyFont="1"/>
    <xf numFmtId="0" fontId="24" fillId="56" borderId="0" xfId="0" applyFont="1" applyFill="1"/>
    <xf numFmtId="0" fontId="0" fillId="56" borderId="0" xfId="0" applyFill="1"/>
    <xf numFmtId="0" fontId="204" fillId="0" borderId="0" xfId="0" applyFont="1"/>
    <xf numFmtId="0" fontId="132" fillId="37" borderId="0" xfId="0" applyFont="1" applyFill="1"/>
    <xf numFmtId="0" fontId="205" fillId="0" borderId="0" xfId="0" applyFont="1"/>
    <xf numFmtId="0" fontId="181" fillId="0" borderId="0" xfId="0" applyFont="1"/>
    <xf numFmtId="0" fontId="25" fillId="11" borderId="0" xfId="0" applyFont="1" applyFill="1"/>
    <xf numFmtId="0" fontId="21" fillId="0" borderId="0" xfId="0" applyFont="1"/>
    <xf numFmtId="0" fontId="29" fillId="7" borderId="12" xfId="0" applyFont="1" applyFill="1" applyBorder="1" applyAlignment="1">
      <alignment horizontal="center"/>
    </xf>
    <xf numFmtId="0" fontId="14" fillId="0" borderId="12" xfId="0" applyFont="1" applyBorder="1"/>
    <xf numFmtId="0" fontId="32" fillId="11" borderId="0" xfId="0" applyFont="1" applyFill="1" applyAlignment="1">
      <alignment horizontal="center" vertical="center"/>
    </xf>
    <xf numFmtId="0" fontId="22" fillId="0" borderId="0" xfId="0" applyFont="1" applyAlignment="1">
      <alignment horizontal="center"/>
    </xf>
    <xf numFmtId="0" fontId="34" fillId="0" borderId="0" xfId="0" applyFont="1" applyAlignment="1">
      <alignment horizontal="center"/>
    </xf>
    <xf numFmtId="0" fontId="0" fillId="0" borderId="0" xfId="0" applyAlignment="1">
      <alignment horizontal="center"/>
    </xf>
    <xf numFmtId="0" fontId="27" fillId="12" borderId="12" xfId="0" applyFont="1" applyFill="1" applyBorder="1" applyAlignment="1">
      <alignment horizontal="center"/>
    </xf>
    <xf numFmtId="0" fontId="27" fillId="12" borderId="12" xfId="0" applyFont="1" applyFill="1" applyBorder="1"/>
    <xf numFmtId="0" fontId="19" fillId="12" borderId="0" xfId="0" applyFont="1" applyFill="1"/>
    <xf numFmtId="0" fontId="31" fillId="11" borderId="0" xfId="0" applyFont="1" applyFill="1"/>
    <xf numFmtId="0" fontId="31" fillId="12" borderId="0" xfId="0" applyFont="1" applyFill="1"/>
    <xf numFmtId="0" fontId="19" fillId="11" borderId="0" xfId="0" applyFont="1" applyFill="1"/>
    <xf numFmtId="0" fontId="90" fillId="14" borderId="0" xfId="0" applyFont="1" applyFill="1"/>
    <xf numFmtId="0" fontId="33" fillId="14" borderId="0" xfId="0" applyFont="1" applyFill="1"/>
    <xf numFmtId="0" fontId="106" fillId="11" borderId="12" xfId="0" applyFont="1" applyFill="1" applyBorder="1"/>
    <xf numFmtId="0" fontId="0" fillId="0" borderId="12" xfId="0" applyBorder="1"/>
    <xf numFmtId="0" fontId="107" fillId="0" borderId="12" xfId="0" applyFont="1" applyBorder="1"/>
    <xf numFmtId="0" fontId="93" fillId="12" borderId="12" xfId="0" applyFont="1" applyFill="1" applyBorder="1"/>
    <xf numFmtId="0" fontId="93" fillId="11" borderId="12" xfId="0" applyFont="1" applyFill="1" applyBorder="1"/>
    <xf numFmtId="0" fontId="0" fillId="11" borderId="12" xfId="0" applyFill="1" applyBorder="1"/>
    <xf numFmtId="0" fontId="104" fillId="11" borderId="12" xfId="0" applyFont="1" applyFill="1" applyBorder="1"/>
    <xf numFmtId="0" fontId="37" fillId="18" borderId="12" xfId="0" applyFont="1" applyFill="1" applyBorder="1"/>
    <xf numFmtId="0" fontId="93" fillId="11" borderId="0" xfId="0" applyFont="1" applyFill="1"/>
    <xf numFmtId="0" fontId="0" fillId="0" borderId="0" xfId="0"/>
    <xf numFmtId="0" fontId="110" fillId="0" borderId="0" xfId="0" applyFont="1"/>
    <xf numFmtId="0" fontId="92" fillId="12" borderId="0" xfId="0" applyFont="1" applyFill="1"/>
    <xf numFmtId="0" fontId="154" fillId="11" borderId="0" xfId="0" applyFont="1" applyFill="1" applyAlignment="1">
      <alignment horizontal="left"/>
    </xf>
    <xf numFmtId="0" fontId="119" fillId="0" borderId="0" xfId="0" applyFont="1" applyAlignment="1">
      <alignment horizontal="left"/>
    </xf>
    <xf numFmtId="0" fontId="107" fillId="0" borderId="0" xfId="0" applyFont="1"/>
    <xf numFmtId="0" fontId="27" fillId="11" borderId="19" xfId="0" applyFont="1" applyFill="1" applyBorder="1" applyAlignment="1">
      <alignment horizontal="center"/>
    </xf>
    <xf numFmtId="0" fontId="27" fillId="11" borderId="20" xfId="0" applyFont="1" applyFill="1" applyBorder="1"/>
    <xf numFmtId="0" fontId="27" fillId="11" borderId="21" xfId="0" applyFont="1" applyFill="1" applyBorder="1"/>
    <xf numFmtId="0" fontId="69" fillId="0" borderId="12" xfId="0" applyFont="1" applyBorder="1" applyAlignment="1">
      <alignment horizontal="center"/>
    </xf>
    <xf numFmtId="0" fontId="92" fillId="51" borderId="0" xfId="0" applyFont="1" applyFill="1"/>
    <xf numFmtId="0" fontId="0" fillId="51" borderId="0" xfId="0" applyFill="1"/>
    <xf numFmtId="0" fontId="92" fillId="52" borderId="0" xfId="0" applyFont="1" applyFill="1"/>
    <xf numFmtId="0" fontId="0" fillId="52" borderId="0" xfId="0" applyFill="1"/>
    <xf numFmtId="0" fontId="104" fillId="51" borderId="0" xfId="0" applyFont="1" applyFill="1"/>
    <xf numFmtId="0" fontId="103" fillId="51" borderId="0" xfId="0" applyFont="1" applyFill="1"/>
    <xf numFmtId="0" fontId="108" fillId="12" borderId="12" xfId="6" applyFont="1" applyFill="1" applyAlignment="1">
      <alignment horizontal="center"/>
    </xf>
    <xf numFmtId="0" fontId="108" fillId="12" borderId="12" xfId="6" applyFont="1" applyFill="1"/>
    <xf numFmtId="0" fontId="118" fillId="12" borderId="12" xfId="6" applyFont="1" applyFill="1"/>
    <xf numFmtId="0" fontId="108" fillId="11" borderId="12" xfId="6" applyFont="1" applyFill="1" applyAlignment="1">
      <alignment horizontal="center"/>
    </xf>
    <xf numFmtId="0" fontId="118" fillId="11" borderId="12" xfId="6" applyFont="1" applyFill="1"/>
    <xf numFmtId="0" fontId="49" fillId="19" borderId="16" xfId="2" applyFont="1" applyFill="1" applyBorder="1" applyAlignment="1">
      <alignment horizontal="left" vertical="center" wrapText="1"/>
    </xf>
    <xf numFmtId="0" fontId="50" fillId="19" borderId="18" xfId="2" applyFont="1" applyFill="1" applyBorder="1" applyAlignment="1">
      <alignment horizontal="left" vertical="top"/>
    </xf>
    <xf numFmtId="0" fontId="50" fillId="19" borderId="17" xfId="2" applyFont="1" applyFill="1" applyBorder="1" applyAlignment="1">
      <alignment horizontal="left" vertical="top"/>
    </xf>
    <xf numFmtId="0" fontId="43" fillId="0" borderId="16" xfId="2" applyFont="1" applyBorder="1" applyAlignment="1">
      <alignment horizontal="left" wrapText="1"/>
    </xf>
    <xf numFmtId="0" fontId="42" fillId="0" borderId="18" xfId="2" applyFont="1" applyBorder="1" applyAlignment="1">
      <alignment horizontal="left" vertical="top"/>
    </xf>
    <xf numFmtId="0" fontId="46" fillId="0" borderId="12" xfId="2" applyFont="1" applyAlignment="1">
      <alignment horizontal="left" vertical="top" wrapText="1"/>
    </xf>
    <xf numFmtId="0" fontId="38" fillId="0" borderId="12" xfId="2" applyAlignment="1">
      <alignment horizontal="left" vertical="top"/>
    </xf>
    <xf numFmtId="0" fontId="49" fillId="19" borderId="16" xfId="2" applyFont="1" applyFill="1" applyBorder="1" applyAlignment="1">
      <alignment horizontal="left" vertical="top" wrapText="1"/>
    </xf>
    <xf numFmtId="0" fontId="46" fillId="0" borderId="12" xfId="2" applyFont="1" applyAlignment="1">
      <alignment horizontal="left" vertical="center" wrapText="1"/>
    </xf>
    <xf numFmtId="0" fontId="43" fillId="0" borderId="32" xfId="2" applyFont="1" applyBorder="1" applyAlignment="1">
      <alignment horizontal="left" wrapText="1"/>
    </xf>
    <xf numFmtId="0" fontId="42" fillId="0" borderId="33" xfId="2" applyFont="1" applyBorder="1" applyAlignment="1">
      <alignment horizontal="left" vertical="top"/>
    </xf>
    <xf numFmtId="0" fontId="42" fillId="0" borderId="34" xfId="2" applyFont="1" applyBorder="1" applyAlignment="1">
      <alignment horizontal="left" vertical="top"/>
    </xf>
    <xf numFmtId="0" fontId="46" fillId="0" borderId="32" xfId="2" applyFont="1" applyBorder="1" applyAlignment="1">
      <alignment horizontal="left" vertical="top" wrapText="1"/>
    </xf>
    <xf numFmtId="0" fontId="47" fillId="0" borderId="16" xfId="2" applyFont="1" applyBorder="1" applyAlignment="1">
      <alignment horizontal="left" vertical="center" wrapText="1"/>
    </xf>
    <xf numFmtId="0" fontId="51" fillId="0" borderId="16" xfId="2" applyFont="1" applyBorder="1" applyAlignment="1">
      <alignment horizontal="center" wrapText="1"/>
    </xf>
    <xf numFmtId="0" fontId="47" fillId="0" borderId="32" xfId="2" applyFont="1" applyBorder="1" applyAlignment="1">
      <alignment horizontal="left" vertical="center" wrapText="1"/>
    </xf>
    <xf numFmtId="0" fontId="47" fillId="0" borderId="32" xfId="2" applyFont="1" applyBorder="1" applyAlignment="1">
      <alignment horizontal="right" vertical="center" wrapText="1"/>
    </xf>
    <xf numFmtId="1" fontId="47" fillId="0" borderId="32" xfId="2" applyNumberFormat="1" applyFont="1" applyBorder="1" applyAlignment="1">
      <alignment horizontal="right" vertical="center" shrinkToFit="1"/>
    </xf>
    <xf numFmtId="0" fontId="47" fillId="14" borderId="32" xfId="2" applyFont="1" applyFill="1" applyBorder="1" applyAlignment="1">
      <alignment horizontal="left" vertical="center" wrapText="1"/>
    </xf>
    <xf numFmtId="0" fontId="47" fillId="14" borderId="33" xfId="2" applyFont="1" applyFill="1" applyBorder="1" applyAlignment="1">
      <alignment horizontal="left" vertical="center" wrapText="1"/>
    </xf>
    <xf numFmtId="0" fontId="47" fillId="14" borderId="34" xfId="2" applyFont="1" applyFill="1" applyBorder="1" applyAlignment="1">
      <alignment horizontal="left" vertical="center" wrapText="1"/>
    </xf>
    <xf numFmtId="0" fontId="47" fillId="14" borderId="32" xfId="2" applyFont="1" applyFill="1" applyBorder="1" applyAlignment="1">
      <alignment horizontal="right" vertical="center" wrapText="1"/>
    </xf>
    <xf numFmtId="0" fontId="84" fillId="14" borderId="33" xfId="2" applyFont="1" applyFill="1" applyBorder="1" applyAlignment="1">
      <alignment horizontal="left" vertical="top"/>
    </xf>
    <xf numFmtId="0" fontId="84" fillId="14" borderId="34" xfId="2" applyFont="1" applyFill="1" applyBorder="1" applyAlignment="1">
      <alignment horizontal="left" vertical="top"/>
    </xf>
    <xf numFmtId="0" fontId="46" fillId="0" borderId="32" xfId="2" applyFont="1" applyBorder="1" applyAlignment="1">
      <alignment horizontal="left" vertical="center" wrapText="1"/>
    </xf>
    <xf numFmtId="0" fontId="46" fillId="0" borderId="33" xfId="2" applyFont="1" applyBorder="1" applyAlignment="1">
      <alignment horizontal="left" vertical="center" wrapText="1"/>
    </xf>
    <xf numFmtId="0" fontId="46" fillId="0" borderId="34" xfId="2" applyFont="1" applyBorder="1" applyAlignment="1">
      <alignment horizontal="left" vertical="center" wrapText="1"/>
    </xf>
    <xf numFmtId="0" fontId="48" fillId="14" borderId="32" xfId="2" applyFont="1" applyFill="1" applyBorder="1" applyAlignment="1">
      <alignment horizontal="right" vertical="center" wrapText="1"/>
    </xf>
    <xf numFmtId="1" fontId="48" fillId="14" borderId="32" xfId="2" applyNumberFormat="1" applyFont="1" applyFill="1" applyBorder="1" applyAlignment="1">
      <alignment horizontal="right" vertical="center" shrinkToFit="1"/>
    </xf>
    <xf numFmtId="0" fontId="47" fillId="13" borderId="32" xfId="2" applyFont="1" applyFill="1" applyBorder="1" applyAlignment="1">
      <alignment horizontal="left" vertical="center" wrapText="1"/>
    </xf>
    <xf numFmtId="0" fontId="47" fillId="13" borderId="33" xfId="2" applyFont="1" applyFill="1" applyBorder="1" applyAlignment="1">
      <alignment horizontal="left" vertical="center" wrapText="1"/>
    </xf>
    <xf numFmtId="0" fontId="47" fillId="13" borderId="34" xfId="2" applyFont="1" applyFill="1" applyBorder="1" applyAlignment="1">
      <alignment horizontal="left" vertical="center" wrapText="1"/>
    </xf>
    <xf numFmtId="0" fontId="48" fillId="13" borderId="32" xfId="2" applyFont="1" applyFill="1" applyBorder="1" applyAlignment="1">
      <alignment horizontal="right" vertical="center" wrapText="1"/>
    </xf>
    <xf numFmtId="0" fontId="84" fillId="13" borderId="33" xfId="2" applyFont="1" applyFill="1" applyBorder="1" applyAlignment="1">
      <alignment horizontal="left" vertical="top"/>
    </xf>
    <xf numFmtId="0" fontId="84" fillId="13" borderId="34" xfId="2" applyFont="1" applyFill="1" applyBorder="1" applyAlignment="1">
      <alignment horizontal="left" vertical="top"/>
    </xf>
    <xf numFmtId="1" fontId="48" fillId="13" borderId="32" xfId="2" applyNumberFormat="1" applyFont="1" applyFill="1" applyBorder="1" applyAlignment="1">
      <alignment horizontal="right" vertical="center" shrinkToFit="1"/>
    </xf>
    <xf numFmtId="0" fontId="98" fillId="0" borderId="16" xfId="2" applyFont="1" applyBorder="1" applyAlignment="1">
      <alignment horizontal="center" vertical="center" wrapText="1"/>
    </xf>
    <xf numFmtId="0" fontId="99" fillId="0" borderId="18" xfId="2" applyFont="1" applyBorder="1" applyAlignment="1">
      <alignment horizontal="left" vertical="top"/>
    </xf>
    <xf numFmtId="0" fontId="99" fillId="0" borderId="17" xfId="2" applyFont="1" applyBorder="1" applyAlignment="1">
      <alignment horizontal="left" vertical="top"/>
    </xf>
    <xf numFmtId="0" fontId="98" fillId="0" borderId="32" xfId="2" applyFont="1" applyBorder="1" applyAlignment="1">
      <alignment horizontal="left" vertical="top" wrapText="1"/>
    </xf>
    <xf numFmtId="0" fontId="99" fillId="0" borderId="33" xfId="2" applyFont="1" applyBorder="1" applyAlignment="1">
      <alignment horizontal="left" vertical="top"/>
    </xf>
    <xf numFmtId="0" fontId="99" fillId="0" borderId="34" xfId="2" applyFont="1" applyBorder="1" applyAlignment="1">
      <alignment horizontal="left" vertical="top"/>
    </xf>
    <xf numFmtId="0" fontId="100" fillId="0" borderId="32" xfId="2" applyFont="1" applyBorder="1" applyAlignment="1">
      <alignment horizontal="center" vertical="center" wrapText="1"/>
    </xf>
    <xf numFmtId="0" fontId="98" fillId="0" borderId="32" xfId="2" applyFont="1" applyBorder="1" applyAlignment="1">
      <alignment horizontal="right" vertical="center" wrapText="1"/>
    </xf>
    <xf numFmtId="0" fontId="83" fillId="0" borderId="33" xfId="2" applyFont="1" applyBorder="1" applyAlignment="1">
      <alignment horizontal="center" vertical="center" wrapText="1"/>
    </xf>
    <xf numFmtId="0" fontId="84" fillId="0" borderId="33" xfId="2" applyFont="1" applyBorder="1" applyAlignment="1">
      <alignment horizontal="left" vertical="top"/>
    </xf>
    <xf numFmtId="0" fontId="83" fillId="0" borderId="3" xfId="2" applyFont="1" applyBorder="1" applyAlignment="1">
      <alignment horizontal="center" vertical="center" wrapText="1"/>
    </xf>
    <xf numFmtId="0" fontId="84" fillId="0" borderId="4" xfId="2" applyFont="1" applyBorder="1" applyAlignment="1">
      <alignment horizontal="left" vertical="top"/>
    </xf>
    <xf numFmtId="0" fontId="84" fillId="0" borderId="8" xfId="2" applyFont="1" applyBorder="1" applyAlignment="1">
      <alignment horizontal="left" vertical="top"/>
    </xf>
    <xf numFmtId="0" fontId="84" fillId="0" borderId="9" xfId="2" applyFont="1" applyBorder="1" applyAlignment="1">
      <alignment horizontal="left" vertical="top"/>
    </xf>
    <xf numFmtId="0" fontId="85" fillId="0" borderId="3" xfId="2" applyFont="1" applyBorder="1" applyAlignment="1">
      <alignment horizontal="center" vertical="top" wrapText="1"/>
    </xf>
    <xf numFmtId="0" fontId="83" fillId="0" borderId="18" xfId="2" applyFont="1" applyBorder="1" applyAlignment="1">
      <alignment horizontal="center" vertical="center" wrapText="1"/>
    </xf>
    <xf numFmtId="0" fontId="84" fillId="0" borderId="18" xfId="2" applyFont="1" applyBorder="1" applyAlignment="1">
      <alignment horizontal="left" vertical="top"/>
    </xf>
    <xf numFmtId="0" fontId="84" fillId="0" borderId="17" xfId="2" applyFont="1" applyBorder="1" applyAlignment="1">
      <alignment horizontal="left" vertical="top"/>
    </xf>
    <xf numFmtId="0" fontId="83" fillId="0" borderId="14" xfId="2" applyFont="1" applyBorder="1" applyAlignment="1">
      <alignment horizontal="center" vertical="center" wrapText="1"/>
    </xf>
    <xf numFmtId="0" fontId="84" fillId="0" borderId="15" xfId="2" applyFont="1" applyBorder="1" applyAlignment="1">
      <alignment horizontal="left" vertical="top"/>
    </xf>
    <xf numFmtId="0" fontId="84" fillId="0" borderId="16" xfId="2" applyFont="1" applyBorder="1" applyAlignment="1">
      <alignment horizontal="left" vertical="top"/>
    </xf>
    <xf numFmtId="0" fontId="83" fillId="0" borderId="16" xfId="2" applyFont="1" applyBorder="1" applyAlignment="1">
      <alignment horizontal="center" vertical="center" wrapText="1"/>
    </xf>
    <xf numFmtId="0" fontId="85" fillId="0" borderId="37" xfId="2" applyFont="1" applyBorder="1" applyAlignment="1">
      <alignment horizontal="center" vertical="center" wrapText="1"/>
    </xf>
    <xf numFmtId="0" fontId="84" fillId="0" borderId="39" xfId="2" applyFont="1" applyBorder="1" applyAlignment="1">
      <alignment horizontal="left" vertical="top"/>
    </xf>
    <xf numFmtId="0" fontId="83" fillId="0" borderId="10" xfId="2" applyFont="1" applyBorder="1" applyAlignment="1">
      <alignment horizontal="center" vertical="center" wrapText="1"/>
    </xf>
    <xf numFmtId="0" fontId="84" fillId="0" borderId="35" xfId="2" applyFont="1" applyBorder="1" applyAlignment="1">
      <alignment horizontal="left" vertical="top"/>
    </xf>
    <xf numFmtId="0" fontId="85" fillId="0" borderId="19" xfId="2" applyFont="1" applyBorder="1" applyAlignment="1">
      <alignment horizontal="center" vertical="top" wrapText="1"/>
    </xf>
    <xf numFmtId="0" fontId="84" fillId="0" borderId="21" xfId="2" applyFont="1" applyBorder="1" applyAlignment="1">
      <alignment horizontal="left" vertical="top"/>
    </xf>
    <xf numFmtId="0" fontId="84" fillId="0" borderId="20" xfId="2" applyFont="1" applyBorder="1" applyAlignment="1">
      <alignment horizontal="left" vertical="top"/>
    </xf>
    <xf numFmtId="0" fontId="83" fillId="0" borderId="33" xfId="2" applyFont="1" applyBorder="1" applyAlignment="1">
      <alignment horizontal="left" vertical="center" wrapText="1"/>
    </xf>
    <xf numFmtId="0" fontId="39" fillId="0" borderId="12" xfId="2" applyFont="1" applyAlignment="1">
      <alignment horizontal="left" vertical="top" wrapText="1"/>
    </xf>
    <xf numFmtId="0" fontId="40" fillId="0" borderId="18" xfId="2" applyFont="1" applyBorder="1" applyAlignment="1">
      <alignment horizontal="center" vertical="top" wrapText="1"/>
    </xf>
    <xf numFmtId="0" fontId="188" fillId="0" borderId="18" xfId="2" applyFont="1" applyBorder="1" applyAlignment="1">
      <alignment horizontal="center" vertical="center" wrapText="1"/>
    </xf>
    <xf numFmtId="0" fontId="41" fillId="0" borderId="12" xfId="2" applyFont="1" applyAlignment="1">
      <alignment horizontal="right" wrapText="1"/>
    </xf>
    <xf numFmtId="0" fontId="73" fillId="0" borderId="12" xfId="2" applyFont="1" applyAlignment="1">
      <alignment horizontal="left" vertical="top"/>
    </xf>
    <xf numFmtId="0" fontId="81" fillId="0" borderId="32" xfId="2" applyFont="1" applyBorder="1" applyAlignment="1">
      <alignment horizontal="left" vertical="center" wrapText="1"/>
    </xf>
    <xf numFmtId="0" fontId="82" fillId="0" borderId="33" xfId="2" applyFont="1" applyBorder="1" applyAlignment="1">
      <alignment horizontal="left" vertical="top"/>
    </xf>
    <xf numFmtId="0" fontId="82" fillId="0" borderId="34" xfId="2" applyFont="1" applyBorder="1" applyAlignment="1">
      <alignment horizontal="left" vertical="top"/>
    </xf>
    <xf numFmtId="0" fontId="187" fillId="0" borderId="33" xfId="2" applyFont="1" applyBorder="1" applyAlignment="1">
      <alignment horizontal="left" vertical="top"/>
    </xf>
    <xf numFmtId="0" fontId="153" fillId="0" borderId="32" xfId="2" applyFont="1" applyBorder="1" applyAlignment="1">
      <alignment horizontal="left" vertical="top" wrapText="1"/>
    </xf>
    <xf numFmtId="1" fontId="45" fillId="0" borderId="32" xfId="2" applyNumberFormat="1" applyFont="1" applyBorder="1" applyAlignment="1">
      <alignment horizontal="left" vertical="top" shrinkToFit="1"/>
    </xf>
    <xf numFmtId="0" fontId="84" fillId="0" borderId="34" xfId="2" applyFont="1" applyBorder="1" applyAlignment="1">
      <alignment horizontal="left" vertical="top"/>
    </xf>
    <xf numFmtId="0" fontId="150" fillId="0" borderId="32" xfId="2" applyFont="1" applyBorder="1" applyAlignment="1">
      <alignment horizontal="left" vertical="top" wrapText="1"/>
    </xf>
    <xf numFmtId="1" fontId="150" fillId="0" borderId="32" xfId="2" applyNumberFormat="1" applyFont="1" applyBorder="1" applyAlignment="1">
      <alignment horizontal="left" vertical="top" shrinkToFit="1"/>
    </xf>
  </cellXfs>
  <cellStyles count="9">
    <cellStyle name="Comma" xfId="1" builtinId="3"/>
    <cellStyle name="Hyperlink" xfId="8" builtinId="8"/>
    <cellStyle name="Normal" xfId="0" builtinId="0"/>
    <cellStyle name="Normal 2" xfId="3" xr:uid="{800A2FB5-A47D-49D3-85F1-D46BB9E6E3CA}"/>
    <cellStyle name="Normal 2 2" xfId="4" xr:uid="{9B51D5ED-3F16-486C-8636-8547EBA4B6FA}"/>
    <cellStyle name="Normal 3" xfId="2" xr:uid="{E436DFB4-1D1C-442C-B1BB-ACF142A2FCC6}"/>
    <cellStyle name="Normal 4" xfId="5" xr:uid="{6ECAA2E5-9C2C-40BA-AB8B-C9DA760E0193}"/>
    <cellStyle name="Normal 5" xfId="6" xr:uid="{4FAD648F-9452-42BD-A3EB-8C9E8F2D4320}"/>
    <cellStyle name="Percent" xfId="7" builtinId="5"/>
  </cellStyles>
  <dxfs count="120">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theme="0"/>
      </font>
      <fill>
        <patternFill patternType="solid">
          <fgColor rgb="FFFF0000"/>
          <bgColor rgb="FFFF0000"/>
        </patternFill>
      </fill>
    </dxf>
    <dxf>
      <font>
        <b/>
        <i val="0"/>
        <color rgb="FF9C0006"/>
      </font>
      <fill>
        <patternFill patternType="solid">
          <fgColor indexed="64"/>
          <bgColor rgb="FFFFC7CE"/>
        </patternFill>
      </fill>
    </dxf>
    <dxf>
      <fill>
        <patternFill patternType="solid">
          <fgColor rgb="FFFF0000"/>
          <bgColor rgb="FFFF0000"/>
        </patternFill>
      </fill>
    </dxf>
    <dxf>
      <font>
        <color rgb="FF006100"/>
      </font>
      <fill>
        <patternFill patternType="solid">
          <fgColor rgb="FFC6EFCE"/>
          <bgColor rgb="FFC6EFCE"/>
        </patternFill>
      </fill>
    </dxf>
    <dxf>
      <font>
        <b/>
        <color rgb="FFFF0000"/>
      </font>
      <fill>
        <patternFill patternType="solid">
          <fgColor rgb="FFF7CAAC"/>
          <bgColor rgb="FFF7CAAC"/>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theme="4"/>
      </font>
      <fill>
        <patternFill patternType="solid">
          <fgColor rgb="FFBDD6EE"/>
          <bgColor rgb="FFBDD6EE"/>
        </patternFill>
      </fill>
    </dxf>
    <dxf>
      <font>
        <b/>
        <i val="0"/>
        <color rgb="FF9C0006"/>
      </font>
      <fill>
        <patternFill patternType="solid">
          <fgColor indexed="64"/>
          <bgColor rgb="FFFFC7CE"/>
        </patternFill>
      </fill>
    </dxf>
    <dxf>
      <fill>
        <patternFill patternType="solid">
          <fgColor rgb="FFA4C2F4"/>
          <bgColor rgb="FFA4C2F4"/>
        </patternFill>
      </fill>
    </dxf>
    <dxf>
      <font>
        <color rgb="FF9C0006"/>
      </font>
      <fill>
        <patternFill patternType="solid">
          <fgColor rgb="FFF9CB9C"/>
          <bgColor rgb="FFF9CB9C"/>
        </patternFill>
      </fill>
    </dxf>
    <dxf>
      <fill>
        <patternFill patternType="solid">
          <fgColor rgb="FFD8D8D8"/>
          <bgColor rgb="FFD8D8D8"/>
        </patternFill>
      </fill>
    </dxf>
    <dxf>
      <fill>
        <patternFill patternType="solid">
          <fgColor rgb="FFBFBFBF"/>
          <bgColor rgb="FFBFBFBF"/>
        </patternFill>
      </fill>
    </dxf>
    <dxf>
      <font>
        <color theme="0"/>
      </font>
      <fill>
        <patternFill patternType="solid">
          <fgColor rgb="FFA5A5A5"/>
          <bgColor rgb="FFA5A5A5"/>
        </patternFill>
      </fill>
    </dxf>
    <dxf>
      <fill>
        <patternFill patternType="solid">
          <fgColor rgb="FFB4C6E7"/>
          <bgColor rgb="FFB4C6E7"/>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0006"/>
      </font>
      <fill>
        <patternFill patternType="solid">
          <fgColor indexed="64"/>
          <bgColor rgb="FFF8CBAD"/>
        </patternFill>
      </fill>
    </dxf>
    <dxf>
      <font>
        <color rgb="FF9C0006"/>
      </font>
      <fill>
        <patternFill patternType="solid">
          <fgColor indexed="64"/>
          <bgColor rgb="FFF8CBAD"/>
        </patternFill>
      </fill>
    </dxf>
    <dxf>
      <fill>
        <patternFill patternType="solid">
          <fgColor indexed="64"/>
          <bgColor rgb="FFFCE4D6"/>
        </patternFill>
      </fill>
    </dxf>
    <dxf>
      <fill>
        <patternFill patternType="solid">
          <fgColor indexed="64"/>
          <bgColor rgb="FFFFD966"/>
        </patternFill>
      </fill>
    </dxf>
    <dxf>
      <fill>
        <patternFill patternType="solid">
          <fgColor indexed="64"/>
          <bgColor rgb="FFC6EFCE"/>
        </patternFill>
      </fill>
    </dxf>
    <dxf>
      <font>
        <color rgb="FF9C0006"/>
      </font>
      <fill>
        <patternFill patternType="solid">
          <fgColor indexed="64"/>
          <bgColor rgb="FFFFC7CE"/>
        </patternFill>
      </fill>
    </dxf>
    <dxf>
      <font>
        <color rgb="FF4169E1"/>
      </font>
    </dxf>
    <dxf>
      <font>
        <color rgb="FF4169E1"/>
      </font>
    </dxf>
    <dxf>
      <font>
        <color rgb="FF4169E1"/>
      </font>
    </dxf>
    <dxf>
      <font>
        <color rgb="FF008000"/>
      </font>
      <numFmt numFmtId="173" formatCode="0.0"/>
    </dxf>
    <dxf>
      <font>
        <color rgb="FF4169E1"/>
      </font>
    </dxf>
    <dxf>
      <font>
        <color rgb="FF4169E1"/>
      </font>
    </dxf>
    <dxf>
      <font>
        <color rgb="FF4169E1"/>
      </font>
    </dxf>
    <dxf>
      <font>
        <color rgb="FF4169E1"/>
      </font>
    </dxf>
    <dxf>
      <font>
        <color rgb="FF4169E1"/>
      </font>
    </dxf>
    <dxf>
      <font>
        <color rgb="FF4169E1"/>
      </font>
    </dxf>
    <dxf>
      <font>
        <b/>
        <i val="0"/>
        <strike val="0"/>
        <condense val="0"/>
        <extend val="0"/>
        <outline val="0"/>
        <shadow val="0"/>
        <u val="none"/>
        <vertAlign val="baseline"/>
        <sz val="11"/>
        <color theme="0"/>
        <name val="Calibri"/>
        <scheme val="minor"/>
      </font>
      <fill>
        <patternFill patternType="solid">
          <fgColor indexed="64"/>
          <bgColor rgb="FF1F3864"/>
        </patternFill>
      </fill>
    </dxf>
    <dxf>
      <font>
        <b val="0"/>
        <i val="0"/>
        <strike val="0"/>
        <condense val="0"/>
        <extend val="0"/>
        <outline val="0"/>
        <shadow val="0"/>
        <u val="none"/>
        <vertAlign val="baseline"/>
        <sz val="11"/>
        <color rgb="FF000000"/>
        <name val="Calibri"/>
        <scheme val="minor"/>
      </font>
      <numFmt numFmtId="0" formatCode="General"/>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8000"/>
        <name val="Calibri"/>
        <scheme val="minor"/>
      </font>
    </dxf>
    <dxf>
      <font>
        <b val="0"/>
        <i val="0"/>
        <strike val="0"/>
        <condense val="0"/>
        <extend val="0"/>
        <outline val="0"/>
        <shadow val="0"/>
        <u val="none"/>
        <vertAlign val="baseline"/>
        <sz val="11"/>
        <color rgb="FF008000"/>
        <name val="Calibri"/>
        <scheme val="minor"/>
      </font>
    </dxf>
    <dxf>
      <font>
        <b val="0"/>
        <i val="0"/>
        <strike val="0"/>
        <condense val="0"/>
        <extend val="0"/>
        <outline val="0"/>
        <shadow val="0"/>
        <u val="none"/>
        <vertAlign val="baseline"/>
        <sz val="11"/>
        <color rgb="FF0000FF"/>
        <name val="Calibri"/>
        <scheme val="minor"/>
      </font>
    </dxf>
    <dxf>
      <font>
        <b val="0"/>
        <i val="0"/>
        <strike val="0"/>
        <condense val="0"/>
        <extend val="0"/>
        <outline val="0"/>
        <shadow val="0"/>
        <u val="none"/>
        <vertAlign val="baseline"/>
        <sz val="11"/>
        <color rgb="FF0000FF"/>
        <name val="Calibri"/>
        <scheme val="minor"/>
      </font>
    </dxf>
    <dxf>
      <font>
        <b val="0"/>
        <i val="0"/>
        <strike val="0"/>
        <condense val="0"/>
        <extend val="0"/>
        <outline val="0"/>
        <shadow val="0"/>
        <u val="none"/>
        <vertAlign val="baseline"/>
        <sz val="11"/>
        <color rgb="FF0000FF"/>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00FF"/>
        <name val="Calibri"/>
        <scheme val="minor"/>
      </font>
    </dxf>
    <dxf>
      <font>
        <b val="0"/>
        <i val="0"/>
        <strike val="0"/>
        <condense val="0"/>
        <extend val="0"/>
        <outline val="0"/>
        <shadow val="0"/>
        <u val="none"/>
        <vertAlign val="baseline"/>
        <sz val="11"/>
        <color rgb="FF0000FF"/>
        <name val="Calibri"/>
        <scheme val="minor"/>
      </font>
    </dxf>
    <dxf>
      <font>
        <b val="0"/>
        <i val="0"/>
        <strike val="0"/>
        <condense val="0"/>
        <extend val="0"/>
        <outline val="0"/>
        <shadow val="0"/>
        <u val="none"/>
        <vertAlign val="baseline"/>
        <sz val="11"/>
        <color rgb="FF0000FF"/>
        <name val="Calibri"/>
        <scheme val="minor"/>
      </font>
    </dxf>
    <dxf>
      <font>
        <b val="0"/>
        <i val="0"/>
        <strike val="0"/>
        <condense val="0"/>
        <extend val="0"/>
        <outline val="0"/>
        <shadow val="0"/>
        <u val="none"/>
        <vertAlign val="baseline"/>
        <sz val="11"/>
        <color rgb="FF0000FF"/>
        <name val="Calibri"/>
        <scheme val="minor"/>
      </font>
    </dxf>
    <dxf>
      <font>
        <b val="0"/>
        <i val="0"/>
        <strike val="0"/>
        <condense val="0"/>
        <extend val="0"/>
        <outline val="0"/>
        <shadow val="0"/>
        <u val="none"/>
        <vertAlign val="baseline"/>
        <sz val="11"/>
        <color rgb="FF000000"/>
        <name val="Calibri"/>
        <scheme val="minor"/>
      </font>
    </dxf>
    <dxf>
      <font>
        <b val="0"/>
        <i val="0"/>
        <strike val="0"/>
        <condense val="0"/>
        <extend val="0"/>
        <outline val="0"/>
        <shadow val="0"/>
        <u val="none"/>
        <vertAlign val="baseline"/>
        <sz val="11"/>
        <color rgb="FF008000"/>
        <name val="Calibri"/>
        <scheme val="minor"/>
      </font>
    </dxf>
    <dxf>
      <font>
        <b val="0"/>
        <i val="0"/>
        <strike val="0"/>
        <condense val="0"/>
        <extend val="0"/>
        <outline val="0"/>
        <shadow val="0"/>
        <u val="none"/>
        <vertAlign val="baseline"/>
        <sz val="11"/>
        <color rgb="FF000000"/>
        <name val="Calibri"/>
        <scheme val="minor"/>
      </font>
    </dxf>
    <dxf>
      <font>
        <b/>
        <i val="0"/>
        <strike val="0"/>
        <condense val="0"/>
        <extend val="0"/>
        <outline val="0"/>
        <shadow val="0"/>
        <u val="none"/>
        <vertAlign val="baseline"/>
        <sz val="11"/>
        <color rgb="FFFFFFFF"/>
        <name val="Calibri"/>
        <scheme val="minor"/>
      </font>
      <fill>
        <patternFill patternType="solid">
          <fgColor indexed="64"/>
          <bgColor rgb="FF1F3864"/>
        </patternFill>
      </fill>
    </dxf>
    <dxf>
      <font>
        <color rgb="FF4169E1"/>
      </font>
      <fill>
        <patternFill patternType="solid">
          <fgColor indexed="64"/>
          <bgColor rgb="FFFFFFFF"/>
        </patternFill>
      </fill>
      <alignment horizontal="center"/>
    </dxf>
    <dxf>
      <font>
        <color rgb="FF4169E1"/>
      </font>
    </dxf>
    <dxf>
      <font>
        <color rgb="FF4169E1"/>
      </font>
    </dxf>
    <dxf>
      <font>
        <color rgb="FF4169E1"/>
      </font>
    </dxf>
    <dxf>
      <font>
        <color rgb="FF4169E1"/>
      </font>
    </dxf>
    <dxf>
      <font>
        <color rgb="FF000000"/>
      </font>
    </dxf>
    <dxf>
      <font>
        <color rgb="FF4169E1"/>
      </font>
    </dxf>
    <dxf>
      <font>
        <color rgb="FF000000"/>
        <family val="2"/>
      </font>
      <numFmt numFmtId="164" formatCode="&quot;$&quot;#,##0.00"/>
    </dxf>
    <dxf>
      <font>
        <color rgb="FF4169E1"/>
      </font>
    </dxf>
    <dxf>
      <font>
        <color rgb="FF008000"/>
      </font>
      <numFmt numFmtId="164" formatCode="&quot;$&quot;#,##0.00"/>
    </dxf>
    <dxf>
      <font>
        <color rgb="FF4169E1"/>
      </font>
      <numFmt numFmtId="168" formatCode="mm/dd/yy;@"/>
    </dxf>
    <dxf>
      <font>
        <color rgb="FF008000"/>
      </font>
      <numFmt numFmtId="164" formatCode="&quot;$&quot;#,##0.00"/>
    </dxf>
    <dxf>
      <font>
        <color rgb="FF4169E1"/>
      </font>
    </dxf>
    <dxf>
      <font>
        <color rgb="FF4169E1"/>
      </font>
    </dxf>
    <dxf>
      <font>
        <color rgb="FF4169E1"/>
      </font>
    </dxf>
    <dxf>
      <font>
        <color rgb="FF4169E1"/>
      </font>
    </dxf>
    <dxf>
      <font>
        <b/>
        <i val="0"/>
        <strike val="0"/>
        <condense val="0"/>
        <extend val="0"/>
        <outline val="0"/>
        <shadow val="0"/>
        <u val="none"/>
        <vertAlign val="baseline"/>
        <sz val="11"/>
        <color theme="0"/>
        <name val="Calibri"/>
        <scheme val="minor"/>
      </font>
      <fill>
        <patternFill patternType="solid">
          <fgColor indexed="64"/>
          <bgColor rgb="FF1F3864"/>
        </patternFill>
      </fill>
    </dxf>
    <dxf>
      <font>
        <color rgb="FF000000"/>
      </font>
      <numFmt numFmtId="13" formatCode="0%"/>
    </dxf>
    <dxf>
      <font>
        <color rgb="FF000000"/>
      </font>
      <numFmt numFmtId="164" formatCode="&quot;$&quot;#,##0.00"/>
    </dxf>
    <dxf>
      <font>
        <color rgb="FF4169E1"/>
      </font>
      <numFmt numFmtId="164" formatCode="&quot;$&quot;#,##0.00"/>
    </dxf>
    <dxf>
      <font>
        <color rgb="FF4169E1"/>
      </font>
      <numFmt numFmtId="164" formatCode="&quot;$&quot;#,##0.00"/>
    </dxf>
    <dxf>
      <font>
        <color rgb="FF4169E1"/>
      </font>
    </dxf>
    <dxf>
      <font>
        <color rgb="FF4169E1"/>
      </font>
    </dxf>
    <dxf>
      <font>
        <color rgb="FF4169E1"/>
      </font>
    </dxf>
    <dxf>
      <font>
        <b/>
        <i val="0"/>
        <strike val="0"/>
        <condense val="0"/>
        <extend val="0"/>
        <outline val="0"/>
        <shadow val="0"/>
        <u val="none"/>
        <vertAlign val="baseline"/>
        <sz val="11"/>
        <color rgb="FFFFFFFF"/>
        <name val="Calibri"/>
        <scheme val="minor"/>
      </font>
      <fill>
        <patternFill patternType="solid">
          <fgColor indexed="64"/>
          <bgColor rgb="FF1F3864"/>
        </patternFill>
      </fill>
    </dxf>
    <dxf>
      <numFmt numFmtId="0" formatCode="General"/>
    </dxf>
    <dxf>
      <font>
        <b val="0"/>
        <i val="0"/>
        <strike val="0"/>
        <condense val="0"/>
        <extend val="0"/>
        <outline val="0"/>
        <shadow val="0"/>
        <u val="none"/>
        <vertAlign val="baseline"/>
        <sz val="11"/>
        <color rgb="FF000000"/>
        <name val="Calibri"/>
        <family val="2"/>
        <scheme val="minor"/>
      </font>
      <numFmt numFmtId="164" formatCode="&quot;$&quot;#,##0.00"/>
    </dxf>
    <dxf>
      <font>
        <color rgb="FF000000"/>
      </font>
      <numFmt numFmtId="164" formatCode="&quot;$&quot;#,##0.00"/>
    </dxf>
    <dxf>
      <font>
        <b val="0"/>
        <i val="0"/>
        <strike val="0"/>
        <condense val="0"/>
        <extend val="0"/>
        <outline val="0"/>
        <shadow val="0"/>
        <u val="none"/>
        <vertAlign val="baseline"/>
        <sz val="11"/>
        <color rgb="FF0000FF"/>
        <name val="Calibri"/>
        <family val="2"/>
        <scheme val="minor"/>
      </font>
      <numFmt numFmtId="164" formatCode="&quot;$&quot;#,##0.00"/>
    </dxf>
    <dxf>
      <font>
        <b val="0"/>
        <i val="0"/>
        <strike val="0"/>
        <condense val="0"/>
        <extend val="0"/>
        <outline val="0"/>
        <shadow val="0"/>
        <u val="none"/>
        <vertAlign val="baseline"/>
        <sz val="11"/>
        <color rgb="FF0000FF"/>
        <name val="Calibri"/>
        <scheme val="minor"/>
      </font>
      <numFmt numFmtId="164" formatCode="&quot;$&quot;#,##0.00"/>
    </dxf>
    <dxf>
      <font>
        <b val="0"/>
        <i val="0"/>
        <strike val="0"/>
        <condense val="0"/>
        <extend val="0"/>
        <outline val="0"/>
        <shadow val="0"/>
        <u val="none"/>
        <vertAlign val="baseline"/>
        <sz val="11"/>
        <color rgb="FF000000"/>
        <name val="Calibri"/>
        <family val="2"/>
        <scheme val="minor"/>
      </font>
      <numFmt numFmtId="164" formatCode="&quot;$&quot;#,##0.00"/>
    </dxf>
    <dxf>
      <font>
        <color rgb="FF0000FF"/>
      </font>
      <numFmt numFmtId="164" formatCode="&quot;$&quot;#,##0.00"/>
    </dxf>
    <dxf>
      <font>
        <b val="0"/>
        <i val="0"/>
        <strike val="0"/>
        <condense val="0"/>
        <extend val="0"/>
        <outline val="0"/>
        <shadow val="0"/>
        <u val="none"/>
        <vertAlign val="baseline"/>
        <sz val="11"/>
        <color rgb="FF000000"/>
        <name val="Calibri"/>
        <family val="2"/>
        <scheme val="minor"/>
      </font>
      <numFmt numFmtId="164" formatCode="&quot;$&quot;#,##0.00"/>
    </dxf>
    <dxf>
      <font>
        <color rgb="FF0000FF"/>
      </font>
      <numFmt numFmtId="164" formatCode="&quot;$&quot;#,##0.00"/>
    </dxf>
    <dxf>
      <font>
        <b val="0"/>
        <i val="0"/>
        <strike val="0"/>
        <condense val="0"/>
        <extend val="0"/>
        <outline val="0"/>
        <shadow val="0"/>
        <u val="none"/>
        <vertAlign val="baseline"/>
        <sz val="11"/>
        <color rgb="FF000000"/>
        <name val="Calibri"/>
        <family val="2"/>
        <scheme val="minor"/>
      </font>
      <numFmt numFmtId="164" formatCode="&quot;$&quot;#,##0.00"/>
    </dxf>
    <dxf>
      <font>
        <color rgb="FF0000FF"/>
      </font>
      <numFmt numFmtId="164" formatCode="&quot;$&quot;#,##0.00"/>
    </dxf>
    <dxf>
      <font>
        <b val="0"/>
        <i val="0"/>
        <strike val="0"/>
        <condense val="0"/>
        <extend val="0"/>
        <outline val="0"/>
        <shadow val="0"/>
        <u val="none"/>
        <vertAlign val="baseline"/>
        <sz val="11"/>
        <color rgb="FF4169E1"/>
        <name val="Calibri"/>
        <family val="2"/>
        <scheme val="minor"/>
      </font>
    </dxf>
    <dxf>
      <font>
        <color rgb="FF4169E1"/>
      </font>
    </dxf>
    <dxf>
      <font>
        <b val="0"/>
        <i val="0"/>
        <strike val="0"/>
        <condense val="0"/>
        <extend val="0"/>
        <outline val="0"/>
        <shadow val="0"/>
        <u val="none"/>
        <vertAlign val="baseline"/>
        <sz val="11"/>
        <color rgb="FF4169E1"/>
        <name val="Calibri"/>
        <family val="2"/>
        <scheme val="minor"/>
      </font>
    </dxf>
    <dxf>
      <font>
        <color rgb="FF4169E1"/>
      </font>
    </dxf>
    <dxf>
      <font>
        <b val="0"/>
        <i val="0"/>
        <strike val="0"/>
        <condense val="0"/>
        <extend val="0"/>
        <outline val="0"/>
        <shadow val="0"/>
        <u val="none"/>
        <vertAlign val="baseline"/>
        <sz val="11"/>
        <color rgb="FF4169E1"/>
        <name val="Calibri"/>
        <family val="2"/>
        <scheme val="minor"/>
      </font>
    </dxf>
    <dxf>
      <font>
        <color rgb="FF4169E1"/>
      </font>
    </dxf>
    <dxf>
      <font>
        <b val="0"/>
        <i val="0"/>
        <strike val="0"/>
        <condense val="0"/>
        <extend val="0"/>
        <outline val="0"/>
        <shadow val="0"/>
        <u val="none"/>
        <vertAlign val="baseline"/>
        <sz val="11"/>
        <color rgb="FF4169E1"/>
        <name val="Calibri"/>
        <family val="2"/>
        <scheme val="minor"/>
      </font>
    </dxf>
    <dxf>
      <font>
        <color rgb="FF4169E1"/>
      </font>
    </dxf>
    <dxf>
      <font>
        <b val="0"/>
        <i val="0"/>
        <strike val="0"/>
        <condense val="0"/>
        <extend val="0"/>
        <outline val="0"/>
        <shadow val="0"/>
        <u val="none"/>
        <vertAlign val="baseline"/>
        <sz val="11"/>
        <color rgb="FF4169E1"/>
        <name val="Calibri"/>
        <family val="2"/>
        <scheme val="minor"/>
      </font>
    </dxf>
    <dxf>
      <font>
        <color rgb="FF4169E1"/>
      </font>
    </dxf>
    <dxf>
      <font>
        <b val="0"/>
        <i val="0"/>
        <strike val="0"/>
        <condense val="0"/>
        <extend val="0"/>
        <outline val="0"/>
        <shadow val="0"/>
        <u val="none"/>
        <vertAlign val="baseline"/>
        <sz val="11"/>
        <color rgb="FF4169E1"/>
        <name val="Calibri"/>
        <family val="2"/>
        <scheme val="minor"/>
      </font>
    </dxf>
    <dxf>
      <font>
        <color rgb="FF4169E1"/>
      </font>
    </dxf>
    <dxf>
      <font>
        <b val="0"/>
        <i val="0"/>
        <strike val="0"/>
        <condense val="0"/>
        <extend val="0"/>
        <outline val="0"/>
        <shadow val="0"/>
        <u val="none"/>
        <vertAlign val="baseline"/>
        <sz val="11"/>
        <color rgb="FF4169E1"/>
        <name val="Calibri"/>
        <family val="2"/>
        <scheme val="minor"/>
      </font>
    </dxf>
    <dxf>
      <font>
        <color rgb="FF4169E1"/>
      </font>
    </dxf>
    <dxf>
      <font>
        <b/>
        <i val="0"/>
        <strike val="0"/>
        <condense val="0"/>
        <extend val="0"/>
        <outline val="0"/>
        <shadow val="0"/>
        <u val="none"/>
        <vertAlign val="baseline"/>
        <sz val="11"/>
        <color rgb="FFFFFFFF"/>
        <name val="Calibri"/>
        <scheme val="minor"/>
      </font>
      <fill>
        <patternFill patternType="solid">
          <fgColor indexed="64"/>
          <bgColor rgb="FF1F3864"/>
        </patternFill>
      </fill>
    </dxf>
    <dxf>
      <font>
        <b/>
        <i val="0"/>
        <strike val="0"/>
        <condense val="0"/>
        <extend val="0"/>
        <outline val="0"/>
        <shadow val="0"/>
        <u val="none"/>
        <vertAlign val="baseline"/>
        <sz val="11"/>
        <color rgb="FFFFFFFF"/>
        <name val="Calibri"/>
        <scheme val="minor"/>
      </font>
      <fill>
        <patternFill patternType="solid">
          <fgColor indexed="64"/>
          <bgColor rgb="FF1F3864"/>
        </patternFill>
      </fill>
    </dxf>
    <dxf>
      <font>
        <color rgb="FF4169E1"/>
      </font>
      <numFmt numFmtId="0" formatCode="General"/>
    </dxf>
    <dxf>
      <font>
        <color rgb="FF008000"/>
      </font>
      <numFmt numFmtId="0" formatCode="General"/>
    </dxf>
    <dxf>
      <font>
        <color rgb="FF000000"/>
      </font>
      <numFmt numFmtId="0" formatCode="General"/>
    </dxf>
    <dxf>
      <font>
        <color rgb="FF000000"/>
      </font>
      <numFmt numFmtId="0" formatCode="General"/>
    </dxf>
    <dxf>
      <font>
        <color rgb="FF000000"/>
      </font>
      <numFmt numFmtId="0" formatCode="General"/>
    </dxf>
    <dxf>
      <font>
        <color rgb="FF4169E1"/>
      </font>
      <numFmt numFmtId="0" formatCode="General"/>
    </dxf>
    <dxf>
      <font>
        <color rgb="FF4169E1"/>
      </font>
      <numFmt numFmtId="0" formatCode="General"/>
    </dxf>
    <dxf>
      <font>
        <color rgb="FF4169E1"/>
      </font>
    </dxf>
    <dxf>
      <font>
        <color rgb="FF4169E1"/>
      </font>
    </dxf>
    <dxf>
      <font>
        <color rgb="FF4169E1"/>
      </font>
      <numFmt numFmtId="0" formatCode="General"/>
    </dxf>
    <dxf>
      <font>
        <color rgb="FF4169E1"/>
      </font>
    </dxf>
    <dxf>
      <font>
        <color rgb="FF4169E1"/>
      </font>
    </dxf>
    <dxf>
      <font>
        <color rgb="FF4169E1"/>
      </font>
    </dxf>
    <dxf>
      <font>
        <b/>
        <i val="0"/>
        <strike val="0"/>
        <condense val="0"/>
        <extend val="0"/>
        <outline val="0"/>
        <shadow val="0"/>
        <u val="none"/>
        <vertAlign val="baseline"/>
        <sz val="11"/>
        <color rgb="FF000000"/>
        <name val="Calibri"/>
        <scheme val="minor"/>
      </font>
      <fill>
        <patternFill patternType="solid">
          <fgColor indexed="64"/>
          <bgColor rgb="FF1F3864"/>
        </patternFill>
      </fill>
    </dxf>
  </dxfs>
  <tableStyles count="0" defaultTableStyle="TableStyleMedium2" defaultPivotStyle="PivotStyleLight16"/>
  <colors>
    <mruColors>
      <color rgb="FF0033CC"/>
      <color rgb="FF006600"/>
      <color rgb="FFFFFFCC"/>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Registration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400-49AD-BFD5-5FDAF7714A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00-49AD-BFD5-5FDAF7714A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00-49AD-BFD5-5FDAF7714A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00-49AD-BFD5-5FDAF7714A94}"/>
              </c:ext>
            </c:extLst>
          </c:dPt>
          <c:cat>
            <c:strRef>
              <c:f>'Control Panel'!$B$21:$B$24</c:f>
            </c:strRef>
          </c:cat>
          <c:val>
            <c:numRef>
              <c:f>'Control Panel'!$C$21:$C$24</c:f>
            </c:numRef>
          </c:val>
          <c:extLst>
            <c:ext xmlns:c16="http://schemas.microsoft.com/office/drawing/2014/chart" uri="{C3380CC4-5D6E-409C-BE32-E72D297353CC}">
              <c16:uniqueId val="{00000000-D601-4A0D-A986-6AF2491FDA3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Scorers: Men (goals)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multiLvlStrRef>
              <c:f>'Stats &amp; MVP'!$B$6:$B$10</c:f>
            </c:multiLvlStrRef>
          </c:cat>
          <c:val>
            <c:numRef>
              <c:f>'Stats &amp; MVP'!$D$6:$D$10</c:f>
            </c:numRef>
          </c:val>
          <c:extLst>
            <c:ext xmlns:c16="http://schemas.microsoft.com/office/drawing/2014/chart" uri="{C3380CC4-5D6E-409C-BE32-E72D297353CC}">
              <c16:uniqueId val="{00000000-BE56-4F46-A304-9531BC123003}"/>
            </c:ext>
          </c:extLst>
        </c:ser>
        <c:dLbls>
          <c:showLegendKey val="0"/>
          <c:showVal val="0"/>
          <c:showCatName val="0"/>
          <c:showSerName val="0"/>
          <c:showPercent val="0"/>
          <c:showBubbleSize val="0"/>
        </c:dLbls>
        <c:gapWidth val="182"/>
        <c:axId val="1563318303"/>
        <c:axId val="1563327903"/>
      </c:barChart>
      <c:catAx>
        <c:axId val="156331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327903"/>
        <c:crosses val="autoZero"/>
        <c:auto val="1"/>
        <c:lblAlgn val="ctr"/>
        <c:lblOffset val="100"/>
        <c:noMultiLvlLbl val="0"/>
      </c:catAx>
      <c:valAx>
        <c:axId val="15633279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318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Scorers: Women (goals)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multiLvlStrRef>
              <c:f>'Stats &amp; MVP'!$B$15:$B$19</c:f>
            </c:multiLvlStrRef>
          </c:cat>
          <c:val>
            <c:numRef>
              <c:f>'Stats &amp; MVP'!$D$15:$D$19</c:f>
            </c:numRef>
          </c:val>
          <c:extLst>
            <c:ext xmlns:c16="http://schemas.microsoft.com/office/drawing/2014/chart" uri="{C3380CC4-5D6E-409C-BE32-E72D297353CC}">
              <c16:uniqueId val="{00000000-0506-43A2-AE15-05984E64F43B}"/>
            </c:ext>
          </c:extLst>
        </c:ser>
        <c:dLbls>
          <c:showLegendKey val="0"/>
          <c:showVal val="0"/>
          <c:showCatName val="0"/>
          <c:showSerName val="0"/>
          <c:showPercent val="0"/>
          <c:showBubbleSize val="0"/>
        </c:dLbls>
        <c:gapWidth val="182"/>
        <c:axId val="2136404863"/>
        <c:axId val="2136405343"/>
      </c:barChart>
      <c:catAx>
        <c:axId val="2136404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05343"/>
        <c:crosses val="autoZero"/>
        <c:auto val="1"/>
        <c:lblAlgn val="ctr"/>
        <c:lblOffset val="100"/>
        <c:noMultiLvlLbl val="0"/>
      </c:catAx>
      <c:valAx>
        <c:axId val="2136405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0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18</xdr:row>
      <xdr:rowOff>0</xdr:rowOff>
    </xdr:from>
    <xdr:to>
      <xdr:col>8</xdr:col>
      <xdr:colOff>0</xdr:colOff>
      <xdr:row>32</xdr:row>
      <xdr:rowOff>0</xdr:rowOff>
    </xdr:to>
    <xdr:graphicFrame macro="">
      <xdr:nvGraphicFramePr>
        <xdr:cNvPr id="2" name="Chart 1">
          <a:extLst>
            <a:ext uri="{FF2B5EF4-FFF2-40B4-BE49-F238E27FC236}">
              <a16:creationId xmlns:a16="http://schemas.microsoft.com/office/drawing/2014/main" id="{A2B7DC5E-E732-44BF-5F81-A97825406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12</xdr:row>
      <xdr:rowOff>0</xdr:rowOff>
    </xdr:from>
    <xdr:to>
      <xdr:col>11</xdr:col>
      <xdr:colOff>0</xdr:colOff>
      <xdr:row>24</xdr:row>
      <xdr:rowOff>0</xdr:rowOff>
    </xdr:to>
    <xdr:graphicFrame macro="">
      <xdr:nvGraphicFramePr>
        <xdr:cNvPr id="4" name="Chart 3">
          <a:extLst>
            <a:ext uri="{FF2B5EF4-FFF2-40B4-BE49-F238E27FC236}">
              <a16:creationId xmlns:a16="http://schemas.microsoft.com/office/drawing/2014/main" id="{551B618D-3F65-EC9D-32BE-D2A5A6E6D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25</xdr:row>
      <xdr:rowOff>0</xdr:rowOff>
    </xdr:from>
    <xdr:to>
      <xdr:col>11</xdr:col>
      <xdr:colOff>0</xdr:colOff>
      <xdr:row>37</xdr:row>
      <xdr:rowOff>0</xdr:rowOff>
    </xdr:to>
    <xdr:graphicFrame macro="">
      <xdr:nvGraphicFramePr>
        <xdr:cNvPr id="5" name="Chart 4">
          <a:extLst>
            <a:ext uri="{FF2B5EF4-FFF2-40B4-BE49-F238E27FC236}">
              <a16:creationId xmlns:a16="http://schemas.microsoft.com/office/drawing/2014/main" id="{C847F128-575F-6EF9-31F7-58DA57F37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171450</xdr:colOff>
      <xdr:row>0</xdr:row>
      <xdr:rowOff>1219200</xdr:rowOff>
    </xdr:from>
    <xdr:ext cx="8067675" cy="85725"/>
    <xdr:sp macro="" textlink="">
      <xdr:nvSpPr>
        <xdr:cNvPr id="2" name="Shape 3">
          <a:extLst>
            <a:ext uri="{FF2B5EF4-FFF2-40B4-BE49-F238E27FC236}">
              <a16:creationId xmlns:a16="http://schemas.microsoft.com/office/drawing/2014/main" id="{AE4B17B2-B2C0-4DE6-ADDC-9EA5128C12A6}"/>
            </a:ext>
          </a:extLst>
        </xdr:cNvPr>
        <xdr:cNvSpPr/>
      </xdr:nvSpPr>
      <xdr:spPr>
        <a:xfrm>
          <a:off x="171450" y="1219200"/>
          <a:ext cx="8067675" cy="85725"/>
        </a:xfrm>
        <a:custGeom>
          <a:avLst/>
          <a:gdLst/>
          <a:ahLst/>
          <a:cxnLst/>
          <a:rect l="l" t="t" r="r" b="b"/>
          <a:pathLst>
            <a:path w="6984365" h="120000" extrusionOk="0">
              <a:moveTo>
                <a:pt x="0" y="0"/>
              </a:moveTo>
              <a:lnTo>
                <a:pt x="3672005" y="0"/>
              </a:lnTo>
            </a:path>
            <a:path w="6984365" h="120000" extrusionOk="0">
              <a:moveTo>
                <a:pt x="3312005" y="0"/>
              </a:moveTo>
              <a:lnTo>
                <a:pt x="6984010" y="0"/>
              </a:lnTo>
            </a:path>
          </a:pathLst>
        </a:custGeom>
        <a:noFill/>
        <a:ln w="14400" cap="flat" cmpd="sng">
          <a:solidFill>
            <a:srgbClr val="000000"/>
          </a:solidFill>
          <a:prstDash val="solid"/>
          <a:round/>
          <a:headEnd type="none" w="sm" len="sm"/>
          <a:tailEnd type="none" w="sm" len="sm"/>
        </a:ln>
      </xdr:spPr>
    </xdr:sp>
    <xdr:clientData fLocksWithSheet="0"/>
  </xdr:oneCellAnchor>
  <xdr:oneCellAnchor>
    <xdr:from>
      <xdr:col>21</xdr:col>
      <xdr:colOff>152400</xdr:colOff>
      <xdr:row>0</xdr:row>
      <xdr:rowOff>0</xdr:rowOff>
    </xdr:from>
    <xdr:ext cx="1171575" cy="1133475"/>
    <xdr:pic>
      <xdr:nvPicPr>
        <xdr:cNvPr id="4" name="image1.png" title="Image">
          <a:extLst>
            <a:ext uri="{FF2B5EF4-FFF2-40B4-BE49-F238E27FC236}">
              <a16:creationId xmlns:a16="http://schemas.microsoft.com/office/drawing/2014/main" id="{F7D9FC13-264D-493E-8E30-C510B86A768A}"/>
            </a:ext>
          </a:extLst>
        </xdr:cNvPr>
        <xdr:cNvPicPr preferRelativeResize="0"/>
      </xdr:nvPicPr>
      <xdr:blipFill>
        <a:blip xmlns:r="http://schemas.openxmlformats.org/officeDocument/2006/relationships" r:embed="rId1" cstate="print"/>
        <a:stretch>
          <a:fillRect/>
        </a:stretch>
      </xdr:blipFill>
      <xdr:spPr>
        <a:xfrm>
          <a:off x="6644640" y="0"/>
          <a:ext cx="1171575" cy="1133475"/>
        </a:xfrm>
        <a:prstGeom prst="rect">
          <a:avLst/>
        </a:prstGeom>
        <a:noFill/>
      </xdr:spPr>
    </xdr:pic>
    <xdr:clientData fLocksWithSheet="0"/>
  </xdr:oneCellAnchor>
  <xdr:twoCellAnchor editAs="oneCell">
    <xdr:from>
      <xdr:col>0</xdr:col>
      <xdr:colOff>249711</xdr:colOff>
      <xdr:row>0</xdr:row>
      <xdr:rowOff>157283</xdr:rowOff>
    </xdr:from>
    <xdr:to>
      <xdr:col>5</xdr:col>
      <xdr:colOff>167640</xdr:colOff>
      <xdr:row>0</xdr:row>
      <xdr:rowOff>1149916</xdr:rowOff>
    </xdr:to>
    <xdr:pic>
      <xdr:nvPicPr>
        <xdr:cNvPr id="7" name="Picture 6">
          <a:extLst>
            <a:ext uri="{FF2B5EF4-FFF2-40B4-BE49-F238E27FC236}">
              <a16:creationId xmlns:a16="http://schemas.microsoft.com/office/drawing/2014/main" id="{FBB607E5-7E7F-B027-AD67-59C33E9A32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9711" y="157283"/>
          <a:ext cx="1601949" cy="99263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9EEF90-B644-49C7-BA73-EBCD68C8F66C}" name="TeamsMaster" displayName="TeamsMaster" ref="A1:L14" totalsRowShown="0" headerRowDxfId="119" dataDxfId="118">
  <autoFilter ref="A1:L14" xr:uid="{299EEF90-B644-49C7-BA73-EBCD68C8F66C}"/>
  <tableColumns count="12">
    <tableColumn id="1" xr3:uid="{FC64054E-439F-4FB6-9CEC-CE797626A40F}" name="TeamID" dataDxfId="117"/>
    <tableColumn id="2" xr3:uid="{8820280A-FCA0-4994-9D6F-A1C84A95F8F3}" name="Team Name" dataDxfId="116"/>
    <tableColumn id="3" xr3:uid="{D103E51C-2EC8-4131-AAE1-553074E5493D}" name="Short Name" dataDxfId="115">
      <calculatedColumnFormula>IF($B2="","",IFERROR(_xlfn.XLOOKUP($B2,TeamStyles[Team Name],TeamStyles[Short Name]),"⚠ add to Team Styles"))</calculatedColumnFormula>
    </tableColumn>
    <tableColumn id="4" xr3:uid="{B975A61A-B797-4268-B326-FB9B1BDEFD7B}" name="Division" dataDxfId="114"/>
    <tableColumn id="5" xr3:uid="{2897E85B-0313-4D41-A3FD-82A36C20D320}" name="Group Code" dataDxfId="113"/>
    <tableColumn id="6" xr3:uid="{54C37618-1CCB-48FB-8BF3-05E45BE9ED55}" name="Jersey Color Home" dataDxfId="112">
      <calculatedColumnFormula>IF($B2="","",IFERROR(_xlfn.XLOOKUP($B2,TeamStyles[Team Name],TeamStyles[Jersey Home]),"⚠ add to Team Styles"))</calculatedColumnFormula>
    </tableColumn>
    <tableColumn id="7" xr3:uid="{DB4EDCA6-63F0-4456-BB78-AEF7636EB5DF}" name="Jersey Color Away" dataDxfId="111">
      <calculatedColumnFormula>IF($B2="","",IFERROR(_xlfn.XLOOKUP($B2,TeamStyles[Team Name],TeamStyles[Jersey Away]),"⚠ add to Team Styles"))</calculatedColumnFormula>
    </tableColumn>
    <tableColumn id="8" xr3:uid="{98631435-95EA-4BD6-AC6A-16BF5963E9F6}" name="Contact Name" dataDxfId="110">
      <calculatedColumnFormula>IFERROR(_xlfn.LET(_xlpm.v,INDEX('Registration 2027'!$K$2:$K$45,MATCH(ROW()-1,'Registration 2027'!$U$2:$U$53,0)),IF(OR(_xlpm.v=0,_xlpm.v=""),"",_xlpm.v)),"")</calculatedColumnFormula>
    </tableColumn>
    <tableColumn id="9" xr3:uid="{EEFCB34E-7794-43D3-8FB7-B81B017AD42E}" name="Contact Email" dataDxfId="109">
      <calculatedColumnFormula>IFERROR(_xlfn.LET(_xlpm.v,INDEX('Registration 2027'!$L$2:$L$45,MATCH(ROW()-1,'Registration 2027'!$U$2:$U$53,0)),IF(OR(_xlpm.v=0,_xlpm.v=""),"",_xlpm.v)),"")</calculatedColumnFormula>
    </tableColumn>
    <tableColumn id="10" xr3:uid="{B597FC69-5077-47DF-9FD7-7BA3A34014DA}" name="Contact Phone" dataDxfId="108">
      <calculatedColumnFormula>IFERROR(_xlfn.LET(_xlpm.v,INDEX('Registration 2027'!$N$2:$N$45,MATCH(ROW()-1,'Registration 2027'!$U$2:$U$53,0)),IF(OR(_xlpm.v=0,_xlpm.v=""),"",_xlpm.v)),"")</calculatedColumnFormula>
    </tableColumn>
    <tableColumn id="11" xr3:uid="{C8B5E487-6D38-44FD-90AE-7F8AB16ACA11}" name="Reg Status" dataDxfId="107">
      <calculatedColumnFormula>IFERROR(INDEX('Registration 2027'!$J$2:$J$45,MATCH(ROW()-1,'Registration 2027'!$U$2:$U$53,0)),"")</calculatedColumnFormula>
    </tableColumn>
    <tableColumn id="12" xr3:uid="{8B915078-BE1A-4BBF-B7B0-DA3510CC92F2}" name="⚠️ Rows fill automatically from Registration 2027 (Status = Fully Registered or Host Registered). Give each team a Short Name + Jerseys in the Team Styles table (O:R) →" dataDxfId="10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E0E3648-F358-4F4D-89F5-5996559B08A5}" name="TeamStyles" displayName="TeamStyles" ref="O1:R14" totalsRowShown="0" headerRowDxfId="105">
  <autoFilter ref="O1:R14" xr:uid="{7E0E3648-F358-4F4D-89F5-5996559B08A5}"/>
  <tableColumns count="4">
    <tableColumn id="1" xr3:uid="{7DA2386B-F413-47D4-916B-A7CC87DF9307}" name="Team Name"/>
    <tableColumn id="2" xr3:uid="{5259491B-1E5E-4B4A-BE9F-D0BC09096FB0}" name="Short Name"/>
    <tableColumn id="3" xr3:uid="{27E8326B-B2DC-4D51-A3C2-89EB986D5CCE}" name="Jersey Home"/>
    <tableColumn id="4" xr3:uid="{921F6AE2-5A8D-420B-966F-578B1B5505BA}" name="Jersey Awa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6A7E73-63FA-4202-A4FC-1124284AEE4B}" name="RefereesMaster" displayName="RefereesMaster" ref="A3:O14" totalsRowCount="1" headerRowDxfId="104">
  <autoFilter ref="A3:O13" xr:uid="{4B6A7E73-63FA-4202-A4FC-1124284AEE4B}"/>
  <tableColumns count="15">
    <tableColumn id="1" xr3:uid="{5B29E231-15B2-445A-B0D1-6E0F621F6ED3}" name="RefID" dataDxfId="103" totalsRowDxfId="102"/>
    <tableColumn id="2" xr3:uid="{85FF9C40-D2F3-414D-B637-364038DDFE1A}" name="Name" dataDxfId="101" totalsRowDxfId="100"/>
    <tableColumn id="3" xr3:uid="{6756C1B8-6C3E-4A8A-811C-8843DE088BDB}" name="Location" dataDxfId="99" totalsRowDxfId="98"/>
    <tableColumn id="4" xr3:uid="{2255814D-07E5-43F5-A9D1-727575D6FDC1}" name="Email" dataDxfId="97" totalsRowDxfId="96"/>
    <tableColumn id="5" xr3:uid="{EAF8E5F0-F13F-4E8E-9E01-738CF7BE2A31}" name="Phone" dataDxfId="95" totalsRowDxfId="94"/>
    <tableColumn id="6" xr3:uid="{6ED977C3-CBA7-4EEC-AD0C-6A0D2F9936C7}" name="Phone WhatsApp" dataDxfId="93" totalsRowDxfId="92"/>
    <tableColumn id="7" xr3:uid="{79EC1568-51A6-4BD3-A0F3-49ACA3F20BE0}" name="Type" dataDxfId="91" totalsRowDxfId="90"/>
    <tableColumn id="8" xr3:uid="{D1FFBA31-357D-4599-9F18-72C75E16ED14}" name="Flight Cost" totalsRowFunction="sum" dataDxfId="89" totalsRowDxfId="88"/>
    <tableColumn id="9" xr3:uid="{9251D06B-A425-4123-8929-112D9D6CA662}" name="Hotel Cost" totalsRowFunction="sum" dataDxfId="87" totalsRowDxfId="86"/>
    <tableColumn id="10" xr3:uid="{64CC7DE6-7068-404C-A25B-3E7A5721C47B}" name="Per Diem" totalsRowFunction="sum" dataDxfId="85" totalsRowDxfId="84"/>
    <tableColumn id="15" xr3:uid="{56041D24-194F-444F-A616-6C73C7DB4888}" name="Car Rental" dataDxfId="83" totalsRowDxfId="82"/>
    <tableColumn id="11" xr3:uid="{1ED506AA-8880-4A30-9B96-1B964D0F8B93}" name="Total Cost" totalsRowFunction="sum" dataDxfId="81" totalsRowDxfId="80">
      <calculatedColumnFormula>SUM(H4:K4)</calculatedColumnFormula>
    </tableColumn>
    <tableColumn id="12" xr3:uid="{5D637943-5471-42BD-9D90-4C24120DBF13}" name="Payment Method"/>
    <tableColumn id="13" xr3:uid="{F80203C7-80F9-4D9D-B800-991135F19D49}" name="Pair #" dataDxfId="79">
      <calculatedColumnFormula>ROUNDUP((ROW()-1)/2,0)</calculatedColumnFormula>
    </tableColumn>
    <tableColumn id="14" xr3:uid="{90924C09-B721-474C-878C-E003E0963AF4}" name="Host-club affiliate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AF70B9-40F8-41B3-9023-79E8C0C1D0D4}" name="ProductsMaster" displayName="ProductsMaster" ref="A3:G30" totalsRowShown="0" headerRowDxfId="78">
  <autoFilter ref="A3:G30" xr:uid="{28AF70B9-40F8-41B3-9023-79E8C0C1D0D4}"/>
  <tableColumns count="7">
    <tableColumn id="1" xr3:uid="{C09C051D-FFBC-43B2-A476-BDB4EC53AF1C}" name="ProductID" dataDxfId="77"/>
    <tableColumn id="2" xr3:uid="{B21342CB-4823-4A2F-A1F6-F487AA2F7E98}" name="Description" dataDxfId="76"/>
    <tableColumn id="3" xr3:uid="{F5BA3D1C-D120-4107-A702-91F89B77F4AC}" name="Category" dataDxfId="75"/>
    <tableColumn id="4" xr3:uid="{2605F040-1A05-4A2A-8CBF-2F9B1A1354D1}" name="COGS" dataDxfId="74"/>
    <tableColumn id="5" xr3:uid="{A1E5FD28-80E6-4BDC-A5C1-2708A16B76B2}" name="Sale Price" dataDxfId="73"/>
    <tableColumn id="6" xr3:uid="{5E36D871-9CA7-4330-934D-A6CD90D43C07}" name="Gross Profit" dataDxfId="72">
      <calculatedColumnFormula>E4-D4</calculatedColumnFormula>
    </tableColumn>
    <tableColumn id="7" xr3:uid="{A21C5BB6-D851-4A76-AECB-D1C819E789C0}" name="Gross Margin" dataDxfId="71">
      <calculatedColumnFormula>IF(E4=0,0,F4/E4)</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517BD0-B343-41E1-9750-6206D0F1A2C6}" name="Registration2027" displayName="Registration2027" ref="A1:P40" totalsRowShown="0" headerRowDxfId="70" dataDxfId="69">
  <autoFilter ref="A1:P40" xr:uid="{B2517BD0-B343-41E1-9750-6206D0F1A2C6}"/>
  <sortState xmlns:xlrd2="http://schemas.microsoft.com/office/spreadsheetml/2017/richdata2" ref="A2:P40">
    <sortCondition ref="B1:B40"/>
  </sortState>
  <tableColumns count="16">
    <tableColumn id="1" xr3:uid="{59AF07AC-834F-417F-9BE2-FC7BC6136E5E}" name="Team" dataDxfId="68"/>
    <tableColumn id="2" xr3:uid="{0DDE1EA3-D1EB-472C-B9AB-2F779AD3905D}" name="Division" dataDxfId="67"/>
    <tableColumn id="3" xr3:uid="{ACB95671-BE6E-4E4A-AABC-D69B8B8376EF}" name="Invitation Sent" dataDxfId="66"/>
    <tableColumn id="4" xr3:uid="{AAABA94F-A087-411D-B144-0FEBFF6910CE}" name="Deposit" dataDxfId="65">
      <calculatedColumnFormula>IF($E2&lt;&gt;"",'Budget Dashboard'!$N$14,"")</calculatedColumnFormula>
    </tableColumn>
    <tableColumn id="5" xr3:uid="{2797347B-12DA-4918-BA66-C672E48837A5}" name="Deposit Date" dataDxfId="64"/>
    <tableColumn id="6" xr3:uid="{DD657C4B-BED6-4789-8B38-94C922A2F663}" name="Final Payment" dataDxfId="63">
      <calculatedColumnFormula>IF($G2&lt;&gt;"",'Budget Dashboard'!$N$15,"")</calculatedColumnFormula>
    </tableColumn>
    <tableColumn id="7" xr3:uid="{8AA6106A-480C-4ED1-BCA9-D39AEE22B905}" name="Final Pay Date" dataDxfId="62"/>
    <tableColumn id="8" xr3:uid="{1644E466-3588-460A-957E-3BD598629F3D}" name="Total Amount" dataDxfId="61">
      <calculatedColumnFormula>IF(OR($D2&lt;&gt;"",$F2&lt;&gt;""),N($D2)+N($F2),"")</calculatedColumnFormula>
    </tableColumn>
    <tableColumn id="9" xr3:uid="{FCEC4BB1-96AA-40D6-8A81-F698D856A967}" name="Roster Submitted" dataDxfId="60"/>
    <tableColumn id="10" xr3:uid="{6F310EF4-6B37-4F07-8507-656C447C7C79}" name="Status" dataDxfId="59"/>
    <tableColumn id="11" xr3:uid="{5CE607C5-15ED-45B0-8C39-BCD734ACAAF1}" name="Contact Name" dataDxfId="58"/>
    <tableColumn id="12" xr3:uid="{EB502B36-2CA8-4F1B-9D8B-CA3013AA7EBA}" name="Contact Email" dataDxfId="57"/>
    <tableColumn id="13" xr3:uid="{61A38FD2-13FD-4C01-BDAB-8FB88F98FA1E}" name="WhatsApp 1" dataDxfId="56"/>
    <tableColumn id="14" xr3:uid="{707299AA-42FF-4395-AEAA-8F4DB4E6F3A5}" name="Phone 1" dataDxfId="55"/>
    <tableColumn id="15" xr3:uid="{0140EEF9-D9B9-4C09-AA2D-FACD302C9938}" name="Host Team" dataDxfId="54"/>
    <tableColumn id="16" xr3:uid="{BB457A53-C114-4388-A9B1-7FE6CA909A3B}" name="Entry Confirme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EB05D7-C8DA-4156-A6B3-799669BA4393}" name="RostersMaster" displayName="RostersMaster" ref="A1:N261" totalsRowShown="0" headerRowDxfId="53" dataDxfId="52">
  <autoFilter ref="A1:N261" xr:uid="{61EB05D7-C8DA-4156-A6B3-799669BA4393}"/>
  <tableColumns count="14">
    <tableColumn id="1" xr3:uid="{584EAE07-C035-4A4A-8E24-DD73581BF57A}" name="Team" dataDxfId="51">
      <calculatedColumnFormula array="1">INDEX('Teams Master'!$C$2:$C$14,INT((ROW()-2)/20)+1)</calculatedColumnFormula>
    </tableColumn>
    <tableColumn id="2" xr3:uid="{DAEF60F2-E1CA-4F49-B489-7B1C3717FD59}" name="Type" dataDxfId="50">
      <calculatedColumnFormula>IF(MOD(ROW()-2,20)+1&lt;=16,"Player","Official")</calculatedColumnFormula>
    </tableColumn>
    <tableColumn id="3" xr3:uid="{87E9B7C0-D3A9-47ED-B7DC-3A4364176097}" name="Jersey" dataDxfId="49"/>
    <tableColumn id="4" xr3:uid="{F89AC20F-4683-4586-834F-EE003865932F}" name="First Name" dataDxfId="48"/>
    <tableColumn id="5" xr3:uid="{50CA68D1-B6E3-4F0D-A626-F8894B8EE080}" name="Last Name" dataDxfId="47"/>
    <tableColumn id="6" xr3:uid="{EA1710E9-BBEB-4AFD-97BC-B20983D7114B}" name="Position" dataDxfId="46"/>
    <tableColumn id="7" xr3:uid="{8BF5B895-FC16-4EB6-A1A0-BB1D8BDE218F}" name="Role / Official" dataDxfId="45">
      <calculatedColumnFormula>IF(MOD(ROW()-2,20)+1&lt;=16,"Player","Official "&amp;MID("ABCD",MOD(ROW()-2,20)-15,1))</calculatedColumnFormula>
    </tableColumn>
    <tableColumn id="8" xr3:uid="{91436CC2-A929-4961-AACD-861E13AC64E8}" name="WhatsApp" dataDxfId="44"/>
    <tableColumn id="9" xr3:uid="{C0C95932-3566-4C50-B4B7-A487A4960FAA}" name="Email" dataDxfId="43"/>
    <tableColumn id="10" xr3:uid="{CCE73C56-49D4-4211-BC75-E6593C3688E9}" name="Notes" dataDxfId="42"/>
    <tableColumn id="11" xr3:uid="{943B54CA-70E5-45E8-8E1A-3911D674D184}" name="Team ID" dataDxfId="41">
      <calculatedColumnFormula array="1">IF(AND($D2="",$E2=""),"",INDEX('Teams Master'!$A$2:$A$14,INT((ROW()-2)/20)+1))</calculatedColumnFormula>
    </tableColumn>
    <tableColumn id="12" xr3:uid="{5AD5C055-31F7-4FCE-8619-17AAC8CAFF99}" name="Division" dataDxfId="40">
      <calculatedColumnFormula array="1">IF(AND($D2="",$E2=""),"",INDEX('Teams Master'!$D$2:$D$14,INT((ROW()-2)/20)+1))</calculatedColumnFormula>
    </tableColumn>
    <tableColumn id="13" xr3:uid="{111FC5DC-E9F8-4345-B060-FA74C25B44B0}" name="Full Name" dataDxfId="39">
      <calculatedColumnFormula>IF(AND($D2="",$E2=""),"",TRIM($D2&amp;" "&amp;$E2))</calculatedColumnFormula>
    </tableColumn>
    <tableColumn id="14" xr3:uid="{9499821B-FD06-4FC9-9B96-3181FF95576A}" name="Lookup Key" dataDxfId="38">
      <calculatedColumnFormula>IF(AND($D2="",$E2=""),"",$A2&amp;"|"&amp;$G2)</calculatedColumnFormula>
    </tableColumn>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F7482F-9333-4BDA-AD00-FD2D231E6047}" name="VolunteersMaster" displayName="VolunteersMaster" ref="A3:I54" totalsRowShown="0" headerRowDxfId="37" dataDxfId="36">
  <autoFilter ref="A3:I54" xr:uid="{9EF7482F-9333-4BDA-AD00-FD2D231E6047}"/>
  <tableColumns count="9">
    <tableColumn id="1" xr3:uid="{8903E873-0ADE-4269-9CE0-FD771B94459E}" name="VolunteerID" dataDxfId="35"/>
    <tableColumn id="2" xr3:uid="{567D234A-9611-43B8-9C9F-0E197C823A23}" name="First Name" dataDxfId="34"/>
    <tableColumn id="3" xr3:uid="{9E0A1B6A-0CE6-4FE2-847E-A2B768F5F28B}" name="Last Name" dataDxfId="33"/>
    <tableColumn id="4" xr3:uid="{568910EE-50D6-40E7-A705-5392781D1146}" name="Full Name" dataDxfId="32"/>
    <tableColumn id="5" xr3:uid="{F0204F55-F672-48E3-8721-8A19B996EB13}" name="Team/Division" dataDxfId="31"/>
    <tableColumn id="6" xr3:uid="{B06EE02D-58DE-4DED-B846-7EBBB6744B14}" name="Total Hours" dataDxfId="30"/>
    <tableColumn id="7" xr3:uid="{9DA5003D-8283-4FE7-9702-7C499A83D656}" name="Notes" dataDxfId="29"/>
    <tableColumn id="8" xr3:uid="{3D28F5CB-3984-4533-ADCE-F8C7D39E1659}" name="Email" dataDxfId="28"/>
    <tableColumn id="9" xr3:uid="{D271F94F-53E0-4ED2-94C2-A51B6F919838}" name="Phone" dataDxfId="2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BAB92D5-6E3E-4961-A3D5-86E11E648401}" name="Pre_orders__2" displayName="Pre_orders__2" ref="A1:I7" totalsRowShown="0">
  <autoFilter ref="A1:I7" xr:uid="{0BAB92D5-6E3E-4961-A3D5-86E11E648401}"/>
  <tableColumns count="9">
    <tableColumn id="1" xr3:uid="{40FCA29F-6800-4A4E-9F45-C90D3C3E5892}" name="Date"/>
    <tableColumn id="2" xr3:uid="{1DF60A0F-B9D1-43C9-978E-76FC3B5956D7}" name="Name"/>
    <tableColumn id="3" xr3:uid="{21B925D2-601F-4EB1-B1B3-1C2B32A01A77}" name="Email"/>
    <tableColumn id="4" xr3:uid="{87E037F6-EC4D-41B5-B520-0AB6D414A709}" name="Phone"/>
    <tableColumn id="5" xr3:uid="{6BDC5FF3-C6E5-43FC-9D95-A548F0F65495}" name="Item"/>
    <tableColumn id="6" xr3:uid="{D496200F-8D1A-4B1D-881E-7DF7A1204F66}" name="Size"/>
    <tableColumn id="7" xr3:uid="{6109D962-99CA-4BC0-8278-748E04C045F8}" name="Qty"/>
    <tableColumn id="8" xr3:uid="{DFFD282F-32BC-4B0A-B91D-DEC95FCB8B91}" name="Notes"/>
    <tableColumn id="9" xr3:uid="{BCBECCE1-D9D5-485D-BD48-22A076334568}" name="Payment status"/>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3.vm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3.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5" Type="http://schemas.openxmlformats.org/officeDocument/2006/relationships/comments" Target="../comments6.xml"/><Relationship Id="rId4" Type="http://schemas.openxmlformats.org/officeDocument/2006/relationships/table" Target="../tables/table5.xml"/></Relationships>
</file>

<file path=xl/worksheets/_rels/sheet17.xml.rels><?xml version='1.0' encoding='UTF-8' standalone='yes'?>
<Relationships xmlns="http://schemas.openxmlformats.org/package/2006/relationships"><Relationship Id="rId3" Type="http://schemas.openxmlformats.org/officeDocument/2006/relationships/hyperlink" Target="https://example.org/social" TargetMode="External"/><Relationship Id="rId2" Type="http://schemas.openxmlformats.org/officeDocument/2006/relationships/hyperlink" Target="https://example.org/live" TargetMode="External"/><Relationship Id="rId1" Type="http://schemas.openxmlformats.org/officeDocument/2006/relationships/hyperlink" Target="https://example.org/schedule" TargetMode="External"/><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hyperlink" Target="https://example.org/photos" TargetMode="External"/></Relationships>
</file>

<file path=xl/worksheets/_rels/sheet1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6.xml"/><Relationship Id="rId1" Type="http://schemas.openxmlformats.org/officeDocument/2006/relationships/vmlDrawing" Target="../drawings/vmlDrawing11.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3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35.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4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4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hyperlink" Target="https://example.org/supplier/sports-drink" TargetMode="External"/></Relationships>
</file>

<file path=xl/worksheets/_rels/sheet45.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4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3.xml"/><Relationship Id="rId4" Type="http://schemas.openxmlformats.org/officeDocument/2006/relationships/comments" Target="../comments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45CC3-83CF-4924-8ABB-D4160662B7A2}">
  <sheetPr>
    <tabColor rgb="FF1F3864"/>
  </sheetPr>
  <dimension ref="A1:C58"/>
  <sheetViews>
    <sheetView tabSelected="1" workbookViewId="0"/>
  </sheetViews>
  <sheetFormatPr defaultRowHeight="14.4"/>
  <cols>
    <col min="1" max="1" width="3.6640625" customWidth="1"/>
    <col min="2" max="2" width="33.33203125" customWidth="1"/>
    <col min="3" max="3" width="77.6640625" customWidth="1"/>
  </cols>
  <sheetData>
    <row r="1" spans="1:3" ht="23.4">
      <c r="A1" s="54" t="s">
        <v>0</v>
      </c>
      <c r="B1" s="671"/>
      <c r="C1" s="671"/>
    </row>
    <row r="2" spans="1:3">
      <c r="A2" s="659" t="s">
        <v>1</v>
      </c>
    </row>
    <row r="4" spans="1:3" ht="15.6">
      <c r="A4" s="21" t="s">
        <v>2</v>
      </c>
      <c r="B4" s="21"/>
      <c r="C4" s="21"/>
    </row>
    <row r="5" spans="1:3">
      <c r="B5" s="670" t="s">
        <v>3</v>
      </c>
      <c r="C5" t="s">
        <v>4</v>
      </c>
    </row>
    <row r="6" spans="1:3">
      <c r="B6" s="670" t="s">
        <v>5</v>
      </c>
      <c r="C6" t="s">
        <v>6</v>
      </c>
    </row>
    <row r="7" spans="1:3">
      <c r="B7" s="670" t="s">
        <v>7</v>
      </c>
      <c r="C7" t="s">
        <v>8</v>
      </c>
    </row>
    <row r="8" spans="1:3">
      <c r="B8" s="670" t="s">
        <v>9</v>
      </c>
      <c r="C8" t="s">
        <v>10</v>
      </c>
    </row>
    <row r="9" spans="1:3">
      <c r="B9" s="672"/>
    </row>
    <row r="10" spans="1:3" ht="15.6">
      <c r="A10" s="21" t="s">
        <v>11</v>
      </c>
      <c r="B10" s="673"/>
      <c r="C10" s="25"/>
    </row>
    <row r="11" spans="1:3">
      <c r="B11" s="670" t="s">
        <v>12</v>
      </c>
      <c r="C11" t="s">
        <v>13</v>
      </c>
    </row>
    <row r="12" spans="1:3">
      <c r="B12" s="670" t="s">
        <v>14</v>
      </c>
      <c r="C12" t="s">
        <v>15</v>
      </c>
    </row>
    <row r="13" spans="1:3">
      <c r="B13" s="670" t="s">
        <v>16</v>
      </c>
      <c r="C13" t="s">
        <v>17</v>
      </c>
    </row>
    <row r="14" spans="1:3">
      <c r="B14" s="670" t="s">
        <v>18</v>
      </c>
      <c r="C14" t="s">
        <v>19</v>
      </c>
    </row>
    <row r="15" spans="1:3">
      <c r="B15" s="670" t="s">
        <v>20</v>
      </c>
      <c r="C15" t="s">
        <v>21</v>
      </c>
    </row>
    <row r="16" spans="1:3">
      <c r="B16" s="670" t="s">
        <v>22</v>
      </c>
      <c r="C16" t="s">
        <v>23</v>
      </c>
    </row>
    <row r="17" spans="1:3">
      <c r="B17" s="670" t="s">
        <v>24</v>
      </c>
      <c r="C17" t="s">
        <v>25</v>
      </c>
    </row>
    <row r="18" spans="1:3">
      <c r="B18" s="672"/>
    </row>
    <row r="19" spans="1:3" ht="15.6">
      <c r="A19" s="21" t="s">
        <v>26</v>
      </c>
      <c r="B19" s="673"/>
      <c r="C19" s="25"/>
    </row>
    <row r="20" spans="1:3">
      <c r="B20" s="670" t="s">
        <v>27</v>
      </c>
      <c r="C20" t="s">
        <v>28</v>
      </c>
    </row>
    <row r="21" spans="1:3">
      <c r="B21" s="672"/>
    </row>
    <row r="22" spans="1:3" ht="15.6">
      <c r="A22" s="21" t="s">
        <v>29</v>
      </c>
      <c r="B22" s="673"/>
      <c r="C22" s="25"/>
    </row>
    <row r="23" spans="1:3">
      <c r="B23" s="670" t="s">
        <v>30</v>
      </c>
      <c r="C23" t="s">
        <v>31</v>
      </c>
    </row>
    <row r="24" spans="1:3">
      <c r="B24" s="670" t="s">
        <v>32</v>
      </c>
      <c r="C24" t="s">
        <v>33</v>
      </c>
    </row>
    <row r="25" spans="1:3">
      <c r="B25" s="670" t="s">
        <v>34</v>
      </c>
      <c r="C25" t="s">
        <v>35</v>
      </c>
    </row>
    <row r="26" spans="1:3">
      <c r="B26" s="670" t="s">
        <v>36</v>
      </c>
      <c r="C26" t="s">
        <v>37</v>
      </c>
    </row>
    <row r="27" spans="1:3">
      <c r="B27" s="670" t="s">
        <v>38</v>
      </c>
      <c r="C27" t="s">
        <v>39</v>
      </c>
    </row>
    <row r="28" spans="1:3">
      <c r="B28" s="672"/>
    </row>
    <row r="29" spans="1:3" ht="15.6">
      <c r="A29" s="21" t="s">
        <v>40</v>
      </c>
      <c r="B29" s="673"/>
      <c r="C29" s="25"/>
    </row>
    <row r="30" spans="1:3">
      <c r="B30" s="670" t="s">
        <v>41</v>
      </c>
      <c r="C30" t="s">
        <v>42</v>
      </c>
    </row>
    <row r="31" spans="1:3">
      <c r="B31" s="670" t="s">
        <v>43</v>
      </c>
      <c r="C31" t="s">
        <v>44</v>
      </c>
    </row>
    <row r="32" spans="1:3">
      <c r="B32" s="672"/>
    </row>
    <row r="33" spans="1:3" ht="15.6">
      <c r="A33" s="21" t="s">
        <v>45</v>
      </c>
      <c r="B33" s="673"/>
      <c r="C33" s="25"/>
    </row>
    <row r="34" spans="1:3">
      <c r="B34" s="670" t="s">
        <v>46</v>
      </c>
      <c r="C34" t="s">
        <v>47</v>
      </c>
    </row>
    <row r="35" spans="1:3">
      <c r="B35" s="670" t="s">
        <v>48</v>
      </c>
      <c r="C35" t="s">
        <v>49</v>
      </c>
    </row>
    <row r="36" spans="1:3">
      <c r="B36" s="670" t="s">
        <v>50</v>
      </c>
      <c r="C36" t="s">
        <v>51</v>
      </c>
    </row>
    <row r="37" spans="1:3">
      <c r="B37" s="670" t="s">
        <v>52</v>
      </c>
      <c r="C37" t="s">
        <v>53</v>
      </c>
    </row>
    <row r="38" spans="1:3">
      <c r="B38" s="670" t="s">
        <v>54</v>
      </c>
      <c r="C38" t="s">
        <v>55</v>
      </c>
    </row>
    <row r="39" spans="1:3">
      <c r="B39" s="670" t="s">
        <v>56</v>
      </c>
      <c r="C39" t="s">
        <v>57</v>
      </c>
    </row>
    <row r="40" spans="1:3">
      <c r="B40" s="672"/>
    </row>
    <row r="41" spans="1:3" ht="15.6">
      <c r="A41" s="21" t="s">
        <v>58</v>
      </c>
      <c r="B41" s="673"/>
      <c r="C41" s="25"/>
    </row>
    <row r="42" spans="1:3">
      <c r="B42" s="670" t="s">
        <v>59</v>
      </c>
      <c r="C42" t="s">
        <v>60</v>
      </c>
    </row>
    <row r="43" spans="1:3">
      <c r="B43" s="670" t="s">
        <v>61</v>
      </c>
      <c r="C43" t="s">
        <v>62</v>
      </c>
    </row>
    <row r="44" spans="1:3">
      <c r="B44" s="670" t="s">
        <v>63</v>
      </c>
      <c r="C44" t="s">
        <v>64</v>
      </c>
    </row>
    <row r="45" spans="1:3">
      <c r="B45" s="672"/>
    </row>
    <row r="46" spans="1:3" ht="15.6">
      <c r="A46" s="21" t="s">
        <v>65</v>
      </c>
      <c r="B46" s="673"/>
      <c r="C46" s="25"/>
    </row>
    <row r="47" spans="1:3">
      <c r="B47" s="670" t="s">
        <v>66</v>
      </c>
      <c r="C47" t="s">
        <v>67</v>
      </c>
    </row>
    <row r="48" spans="1:3">
      <c r="B48" s="670" t="s">
        <v>68</v>
      </c>
      <c r="C48" t="s">
        <v>69</v>
      </c>
    </row>
    <row r="49" spans="1:3">
      <c r="B49" s="670" t="s">
        <v>70</v>
      </c>
      <c r="C49" t="s">
        <v>71</v>
      </c>
    </row>
    <row r="50" spans="1:3">
      <c r="B50" s="670" t="s">
        <v>72</v>
      </c>
      <c r="C50" t="s">
        <v>73</v>
      </c>
    </row>
    <row r="51" spans="1:3">
      <c r="B51" s="670" t="s">
        <v>74</v>
      </c>
      <c r="C51" t="s">
        <v>75</v>
      </c>
    </row>
    <row r="52" spans="1:3">
      <c r="B52" s="670" t="s">
        <v>76</v>
      </c>
      <c r="C52" t="s">
        <v>77</v>
      </c>
    </row>
    <row r="53" spans="1:3">
      <c r="B53" s="771" t="s">
        <v>78</v>
      </c>
      <c r="C53" t="s">
        <v>79</v>
      </c>
    </row>
    <row r="54" spans="1:3">
      <c r="B54" s="771" t="s">
        <v>80</v>
      </c>
      <c r="C54" t="s">
        <v>81</v>
      </c>
    </row>
    <row r="55" spans="1:3" ht="15.6">
      <c r="A55" s="21" t="s">
        <v>82</v>
      </c>
      <c r="B55" s="673"/>
      <c r="C55" s="25"/>
    </row>
    <row r="56" spans="1:3">
      <c r="B56" s="670" t="s">
        <v>83</v>
      </c>
      <c r="C56" t="s">
        <v>84</v>
      </c>
    </row>
    <row r="57" spans="1:3">
      <c r="B57" s="672"/>
    </row>
    <row r="58" spans="1:3">
      <c r="B58" s="672"/>
    </row>
  </sheetData>
  <hyperlinks>
    <hyperlink ref="B5" location="'Control Panel'!A1" tooltip="Go to Control Panel" display="Control Panel" xr:uid="{207B3CB2-8B08-4695-9021-15E37583C83D}"/>
    <hyperlink ref="B6" location="'Admin Manual'!A1" tooltip="Go to Admin Manual" display="Admin Manual" xr:uid="{2624D4F7-7099-4A09-B6B3-5E5EA41928AB}"/>
    <hyperlink ref="B7" location="'Volunteer Guide'!A1" tooltip="Go to Volunteer Guide" display="Volunteer Guide" xr:uid="{F40447F2-6DAA-43D5-94C7-2F0D8BFE6840}"/>
    <hyperlink ref="B8" location="'Model Notes'!A1" tooltip="Go to Model Notes" display="Model Notes" xr:uid="{C0B0E967-707A-4CF9-A34A-4AAFB876125B}"/>
    <hyperlink ref="B11" location="'Inputs'!A1" tooltip="Go to Inputs" display="Inputs" xr:uid="{8D3A6210-48FA-433A-9DB8-16F14D461E42}"/>
    <hyperlink ref="B12" location="'Format Engine'!A1" tooltip="Go to Format Engine" display="Format Engine" xr:uid="{1F770763-101A-4B5C-9FFD-5BD63D785A2F}"/>
    <hyperlink ref="B13" location="'Standings Engine'!A1" tooltip="Go to Standings Engine" display="Standings Engine" xr:uid="{DFD74F29-FCB7-43C7-8707-D58BCA4C7945}"/>
    <hyperlink ref="B14" location="'Teams Master'!A1" tooltip="Go to Teams Master" display="Teams Master" xr:uid="{7D24C17A-8050-4E1B-8527-C3C0EDBB780F}"/>
    <hyperlink ref="B15" location="'Referees Master'!A1" tooltip="Go to Referees Master" display="Referees Master" xr:uid="{D2B91579-AC5A-4987-954E-6651C111B1AE}"/>
    <hyperlink ref="B16" location="'Medical Staff Master'!A1" tooltip="Go to Medical Staff Master" display="Medical Staff Master" xr:uid="{57B9B2C7-C104-4A5B-B5FC-9FD9B6DC13EE}"/>
    <hyperlink ref="B17" location="'Products Master'!A1" tooltip="Go to Products Master" display="Products Master" xr:uid="{9E3BC451-88B3-47E0-956D-101FF50EBAC8}"/>
    <hyperlink ref="B20" location="'Registration 2027'!A1" tooltip="Go to Registration 2027" display="Registration 2027" xr:uid="{FCA48323-A46A-4A17-8371-EAD11BE51F52}"/>
    <hyperlink ref="B23" location="'Games Schedule'!A1" tooltip="Go to Games Schedule" display="Games Schedule" xr:uid="{428328FA-EBDD-4CE6-8768-EF610B5F4456}"/>
    <hyperlink ref="B24" location="'Group Draw'!A1" tooltip="Go to Group Draw" display="Group Draw" xr:uid="{6267127D-7F8E-4BA3-A406-85D08C172105}"/>
    <hyperlink ref="B25" location="'Printable Schedule'!A1" tooltip="Go to Printable Schedule" display="Printable Schedule" xr:uid="{4CC61E9E-D3EA-4DE1-A7B6-A1156E8BB691}"/>
    <hyperlink ref="B26" location="'Rankings'!A1" tooltip="Go to Rankings" display="Rankings" xr:uid="{9C18594D-1239-48B2-B77C-67688BB57FB5}"/>
    <hyperlink ref="B27" location="'Final Rankings'!A1" tooltip="Go to Final Rankings" display="Final Rankings" xr:uid="{0F18F82C-507E-4C38-B5FB-A679092A0871}"/>
    <hyperlink ref="B30" location="'Rosters Master'!A1" tooltip="Go to Rosters Master" display="Rosters Master" xr:uid="{07F38F5A-923C-495B-B7A2-B8380CE13AC2}"/>
    <hyperlink ref="B31" location="'Roster Template'!A1" tooltip="Go to Roster Template" display="Roster Template" xr:uid="{5F2C1C82-EED2-4943-B8BF-C4675FFB3B56}"/>
    <hyperlink ref="B34" location="'Stats &amp; MVP'!A1" tooltip="Go to Stats &amp; MVP" display="Stats &amp; MVP" xr:uid="{FD685FEA-F881-4D77-9EE6-A740F77169FC}"/>
    <hyperlink ref="B35" location="'Individuals Stats Men'!A1" tooltip="Go to Individuals Stats Men" display="Individuals Stats Men" xr:uid="{0B301564-9F21-435C-9EB5-5FD1FE712D23}"/>
    <hyperlink ref="B36" location="'Individuals Stats Women'!A1" tooltip="Go to Individuals Stats Women" display="Individuals Stats Women" xr:uid="{223EF885-73A4-4403-8833-457C70F68576}"/>
    <hyperlink ref="B37" location="'Voters Master'!A1" tooltip="Go to Voters Master" display="Voters Master" xr:uid="{6B1410EA-59D5-4C4D-B770-7301B93D8DA3}"/>
    <hyperlink ref="B38" location="'Officials Contacts'!A1" tooltip="Go to Officials Contacts" display="Officials Contacts" xr:uid="{91D6F50C-145A-464C-900C-74D7C5BE9C32}"/>
    <hyperlink ref="B39" location="'MVP Voting'!A1" tooltip="Go to MVP Voting" display="MVP Voting" xr:uid="{00E6E52C-F672-4E58-9546-991D282E61EA}"/>
    <hyperlink ref="B42" location="'Volunteer Master List'!A1" tooltip="Go to Volunteer Master List" display="Volunteer Master List" xr:uid="{44CBBF5D-88B0-49DB-AFDE-3B9ABB78F579}"/>
    <hyperlink ref="B43" location="'Gym Prep'!A1" tooltip="Go to Gym Prep" display="Gym Prep" xr:uid="{B2828B62-0B6A-4FE9-85DD-31530AEEC934}"/>
    <hyperlink ref="B44" location="'Referee Pickup Drop Off'!A1" tooltip="Go to Referee Pickup Drop Off" display="Referee Pickup Drop Off" xr:uid="{7E9836EC-8FB0-471A-B4ED-47D87C27DBB2}"/>
    <hyperlink ref="B47" location="'Budget Dashboard'!A1" tooltip="Go to Budget Dashboard" display="Budget Dashboard" xr:uid="{98143911-993A-4A04-A603-E90153D7E7A7}"/>
    <hyperlink ref="B48" location="'Multi Year Financial Summary'!A1" tooltip="Go to Multi Year Financial Summary" display="Multi Year Financial Summary" xr:uid="{15B3CE7E-7DE2-44B9-BA45-ABEEE1EF5097}"/>
    <hyperlink ref="B49" location="'Operations Costs'!A1" tooltip="Go to Operations Costs" display="Operations Costs" xr:uid="{6F158FE3-E519-414E-9EFC-190F5566665F}"/>
    <hyperlink ref="B50" location="'Concession Projection Details'!A1" tooltip="Go to Concession Projection Details" display="Concession Projection Details" xr:uid="{F1AED41B-63F3-40DD-9790-D0431905DA99}"/>
    <hyperlink ref="B51" location="'Concession purchase list'!A1" tooltip="Go to Concession purchase list" display="Concession purchase list" xr:uid="{4B7CE874-4F2A-40D5-BC3C-C54B4492C621}"/>
    <hyperlink ref="B52" location="'Price List Concession'!A1" tooltip="Go to Price List Concession" display="Price List Concession" xr:uid="{D432F89F-77B0-43FD-9F48-A2B20A19A5D9}"/>
    <hyperlink ref="B56" location="'Game Sheet'!A1" tooltip="Go to Game Sheet" display="Game Sheet" xr:uid="{875F6CAE-85DF-42EF-966F-83C088694CC1}"/>
    <hyperlink ref="B53" location="'Merch Pre-Order (COGS)'!A1" tooltip="Jump to Merch Pre-Order (COGS) sheet" display="Merch Pre-Order (COGS)" xr:uid="{1B8B82B4-D15A-402F-B5B1-AF71359C7CB1}"/>
    <hyperlink ref="B54" location="'Pre-orders'!A1" display="Pre-orders" xr:uid="{8C668924-181A-4CFC-8111-C32DA421387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AFFA9-C1A3-4D6C-931F-1DC64013C060}">
  <sheetPr>
    <tabColor rgb="FF8EA9DB"/>
  </sheetPr>
  <dimension ref="B2:H24"/>
  <sheetViews>
    <sheetView workbookViewId="0">
      <selection activeCell="C2" sqref="C2:D2"/>
    </sheetView>
  </sheetViews>
  <sheetFormatPr defaultRowHeight="14.4"/>
  <cols>
    <col min="1" max="1" width="3.33203125" customWidth="1"/>
    <col min="2" max="2" width="27.44140625" customWidth="1"/>
    <col min="3" max="3" width="16.6640625" customWidth="1"/>
    <col min="4" max="4" width="20.33203125" customWidth="1"/>
    <col min="5" max="5" width="3.33203125" customWidth="1"/>
    <col min="6" max="6" width="20.33203125" customWidth="1"/>
    <col min="7" max="7" width="37" customWidth="1"/>
  </cols>
  <sheetData>
    <row r="2" spans="2:8" ht="23.4">
      <c r="B2" s="54" t="s">
        <v>85</v>
      </c>
      <c r="C2" s="54"/>
      <c r="D2" s="54"/>
      <c r="F2" s="794" t="s">
        <v>86</v>
      </c>
      <c r="G2" s="795" t="s">
        <v>87</v>
      </c>
      <c r="H2" s="670" t="s">
        <v>88</v>
      </c>
    </row>
    <row r="3" spans="2:8">
      <c r="B3" s="446">
        <f>"Tournament starts "&amp;TEXT(Inputs!C22,"dddd, mmm d, yyyy")&amp;"  •  "&amp;Inputs!C23</f>
      </c>
      <c r="F3" s="565" t="s">
        <v>89</v>
      </c>
      <c r="G3" s="566">
        <f>Inputs!C13&amp;" teams ("&amp;Inputs!C14&amp;"M / "&amp;Inputs!C15&amp;"W)"</f>
      </c>
      <c r="H3" s="670" t="s">
        <v>90</v>
      </c>
    </row>
    <row r="4" spans="2:8">
      <c r="B4" s="233" t="s">
        <v>91</v>
      </c>
    </row>
    <row r="5" spans="2:8">
      <c r="B5" s="25" t="s">
        <v>26</v>
      </c>
      <c r="F5" s="25" t="s">
        <v>92</v>
      </c>
    </row>
    <row r="6" spans="2:8" ht="18">
      <c r="B6" s="310" t="s">
        <v>93</v>
      </c>
      <c r="C6" s="448">
        <f>COUNTIF('Registration 2027'!$J$2:$J$40,"Fully Registered")+COUNTIF('Registration 2027'!$J$2:$J$40,"Host Registered")</f>
      </c>
      <c r="D6" s="449">
        <f>"of "&amp;Inputs!C13&amp;" max"</f>
      </c>
      <c r="F6" s="310" t="s">
        <v>94</v>
      </c>
      <c r="G6" s="451">
        <f>'Stats &amp; MVP'!B6&amp;": "&amp;'Stats &amp; MVP'!D6&amp;" goals"</f>
      </c>
    </row>
    <row r="7" spans="2:8" ht="18">
      <c r="B7" s="310" t="s">
        <v>95</v>
      </c>
      <c r="C7" s="450">
        <f>SUM('Registration 2027'!$H$2:$H$40)</f>
      </c>
      <c r="D7" s="449">
        <f>"of "&amp;TEXT(Inputs!C18*(Inputs!C13-'Registration 2027'!$R$9),"$#,##0")&amp;" expected"</f>
      </c>
      <c r="F7" s="310" t="s">
        <v>96</v>
      </c>
      <c r="G7" s="451">
        <f>'Stats &amp; MVP'!B15&amp;": "&amp;'Stats &amp; MVP'!D15&amp;" goals"</f>
      </c>
    </row>
    <row r="8" spans="2:8">
      <c r="F8" s="310" t="s">
        <v>97</v>
      </c>
      <c r="G8" s="451">
        <f>'Stats &amp; MVP'!G8</f>
      </c>
    </row>
    <row r="9" spans="2:8">
      <c r="B9" s="25" t="s">
        <v>98</v>
      </c>
      <c r="F9" s="310" t="s">
        <v>99</v>
      </c>
      <c r="G9" s="451">
        <f>'Stats &amp; MVP'!G9</f>
      </c>
    </row>
    <row r="10" spans="2:8" ht="18">
      <c r="B10" s="310" t="s">
        <v>100</v>
      </c>
      <c r="C10" s="450">
        <f>'Budget Dashboard'!A5</f>
      </c>
      <c r="G10" s="260"/>
    </row>
    <row r="11" spans="2:8" ht="18">
      <c r="B11" s="310" t="s">
        <v>101</v>
      </c>
      <c r="C11" s="450">
        <f>'Budget Dashboard'!B5</f>
      </c>
      <c r="F11" s="25" t="s">
        <v>102</v>
      </c>
      <c r="G11" s="260"/>
    </row>
    <row r="12" spans="2:8" ht="18">
      <c r="B12" s="310" t="s">
        <v>103</v>
      </c>
      <c r="C12" s="450">
        <f>'Budget Dashboard'!C5</f>
      </c>
      <c r="F12" s="310" t="s">
        <v>104</v>
      </c>
      <c r="G12" s="451">
        <f>Rankings!B3</f>
      </c>
    </row>
    <row r="13" spans="2:8">
      <c r="F13" s="310" t="s">
        <v>105</v>
      </c>
      <c r="G13" s="451">
        <f>Rankings!B10</f>
      </c>
    </row>
    <row r="14" spans="2:8">
      <c r="B14" s="25" t="s">
        <v>106</v>
      </c>
      <c r="F14" s="310" t="s">
        <v>107</v>
      </c>
      <c r="G14" s="451">
        <f>Rankings!B17</f>
      </c>
    </row>
    <row r="15" spans="2:8" ht="18">
      <c r="B15" s="310" t="s">
        <v>108</v>
      </c>
      <c r="C15" s="448">
        <f>COUNT('Games Schedule'!$C$5:$C$31)</f>
      </c>
    </row>
    <row r="16" spans="2:8" ht="18">
      <c r="B16" s="310" t="s">
        <v>109</v>
      </c>
      <c r="C16" s="448" cm="1">
        <f t="array" ref="C16">SUMPRODUCT((('Games Schedule'!$S$5:$S$31+'Games Schedule'!$T$5:$T$31)&gt;0)*1)</f>
      </c>
    </row>
    <row r="17" spans="2:3" ht="18">
      <c r="B17" s="310" t="s">
        <v>110</v>
      </c>
      <c r="C17" s="448">
        <f>SUM('Games Schedule'!$S$5:$T$31)</f>
      </c>
    </row>
    <row r="19" spans="2:3">
      <c r="B19" s="25" t="s">
        <v>111</v>
      </c>
    </row>
    <row r="20" spans="2:3">
      <c r="B20" s="317" t="s">
        <v>112</v>
      </c>
      <c r="C20" s="452" t="s">
        <v>113</v>
      </c>
    </row>
    <row r="21" spans="2:3">
      <c r="B21" s="194" t="s">
        <v>114</v>
      </c>
      <c r="C21" s="447">
        <f>COUNTIF('Registration 2027'!$J$2:$J$40,"Fully Registered")</f>
      </c>
    </row>
    <row r="22" spans="2:3">
      <c r="B22" s="194" t="s">
        <v>115</v>
      </c>
      <c r="C22" s="447">
        <f>COUNTIF('Registration 2027'!$J$2:$J$40,"Host Registered")</f>
      </c>
    </row>
    <row r="23" spans="2:3">
      <c r="B23" s="194" t="s">
        <v>116</v>
      </c>
      <c r="C23" s="447">
        <f>COUNTIF('Registration 2027'!$J$2:$J$40,"Deposit Paid")</f>
      </c>
    </row>
    <row r="24" spans="2:3">
      <c r="B24" s="194" t="s">
        <v>117</v>
      </c>
      <c r="C24" s="447">
        <f>COUNTIF('Registration 2027'!$A$2:$A$40,"?*")-C21-C22-C23</f>
      </c>
    </row>
  </sheetData>
  <dataValidations count="1">
    <dataValidation type="list" allowBlank="1" showInputMessage="1" showErrorMessage="1" sqref="G2" xr:uid="{BB03A4BE-D412-4F51-BD43-440C20241DBC}">
      <formula1>"8M+5W,8M+4W,6M+6W"</formula1>
    </dataValidation>
  </dataValidations>
  <hyperlinks>
    <hyperlink ref="H2" location="'Admin Manual'!A1" tooltip="Open Admin Manual" display="📖 New here? Open the Admin Manual" xr:uid="{ED0AD3DC-EA17-4369-B844-FBCB932599A0}"/>
    <hyperlink ref="H3" location="'----- NAVIGATION -----'!A1" tooltip="Open Navigation" display="🧭 See full workbook map" xr:uid="{04033E5A-F44F-49DB-9938-D73DE2E28B31}"/>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ECAF7-8CE2-403B-BF55-1C8D53F92794}">
  <sheetPr>
    <tabColor rgb="FF8EA9DB"/>
  </sheetPr>
  <dimension ref="A1:E29"/>
  <sheetViews>
    <sheetView showGridLines="0" workbookViewId="0">
      <pane xSplit="5" ySplit="4" topLeftCell="F5" activePane="bottomRight" state="frozen"/>
      <selection pane="topRight" activeCell="F1" sqref="F1"/>
      <selection pane="bottomLeft" activeCell="A5" sqref="A5"/>
      <selection pane="bottomRight" activeCell="B21" sqref="B21"/>
    </sheetView>
  </sheetViews>
  <sheetFormatPr defaultRowHeight="14.4"/>
  <cols>
    <col min="1" max="1" width="4.6640625" customWidth="1"/>
    <col min="2" max="2" width="46.33203125" customWidth="1"/>
    <col min="3" max="3" width="13.33203125" customWidth="1"/>
    <col min="4" max="4" width="37" customWidth="1"/>
    <col min="5" max="5" width="61.109375" customWidth="1"/>
  </cols>
  <sheetData>
    <row r="1" spans="1:5" ht="18">
      <c r="A1" s="791" t="s">
        <v>118</v>
      </c>
      <c r="B1" s="791"/>
      <c r="C1" s="791"/>
      <c r="D1" s="791"/>
      <c r="E1" s="791"/>
    </row>
    <row r="2" spans="1:5">
      <c r="A2" s="819" t="s">
        <v>119</v>
      </c>
      <c r="B2" s="819"/>
      <c r="C2" s="819"/>
      <c r="D2" s="819"/>
      <c r="E2" s="819"/>
    </row>
    <row r="4" spans="1:5">
      <c r="A4" s="660" t="s">
        <v>120</v>
      </c>
      <c r="B4" s="661" t="s">
        <v>121</v>
      </c>
      <c r="C4" s="660" t="s">
        <v>122</v>
      </c>
      <c r="D4" s="661" t="s">
        <v>123</v>
      </c>
      <c r="E4" s="661" t="s">
        <v>124</v>
      </c>
    </row>
    <row r="5" spans="1:5" ht="28.8">
      <c r="A5" s="662">
        <v>1</v>
      </c>
      <c r="B5" s="663" t="s">
        <v>125</v>
      </c>
      <c r="C5" s="666" t="s">
        <v>126</v>
      </c>
      <c r="D5" s="664" t="s">
        <v>127</v>
      </c>
      <c r="E5" s="663" t="s">
        <v>128</v>
      </c>
    </row>
    <row r="6" spans="1:5" ht="28.8">
      <c r="A6" s="662">
        <v>2</v>
      </c>
      <c r="B6" s="663" t="s">
        <v>129</v>
      </c>
      <c r="C6" s="666" t="s">
        <v>126</v>
      </c>
      <c r="D6" s="664" t="s">
        <v>130</v>
      </c>
      <c r="E6" s="663" t="s">
        <v>131</v>
      </c>
    </row>
    <row r="7" spans="1:5" ht="28.8">
      <c r="A7" s="662">
        <v>3</v>
      </c>
      <c r="B7" s="663" t="s">
        <v>132</v>
      </c>
      <c r="C7" s="667" t="s">
        <v>133</v>
      </c>
      <c r="D7" s="664" t="s">
        <v>134</v>
      </c>
      <c r="E7" s="663" t="s">
        <v>135</v>
      </c>
    </row>
    <row r="8" spans="1:5" ht="43.2">
      <c r="A8" s="662">
        <v>4</v>
      </c>
      <c r="B8" s="663" t="s">
        <v>136</v>
      </c>
      <c r="C8" s="666" t="s">
        <v>126</v>
      </c>
      <c r="D8" s="664" t="s">
        <v>137</v>
      </c>
      <c r="E8" s="663" t="s">
        <v>138</v>
      </c>
    </row>
    <row r="9" spans="1:5" ht="28.8">
      <c r="A9" s="662">
        <v>5</v>
      </c>
      <c r="B9" s="663" t="s">
        <v>139</v>
      </c>
      <c r="C9" s="668" t="s">
        <v>140</v>
      </c>
      <c r="D9" s="664" t="s">
        <v>141</v>
      </c>
      <c r="E9" s="663" t="s">
        <v>142</v>
      </c>
    </row>
    <row r="10" spans="1:5" ht="43.2">
      <c r="A10" s="662">
        <v>6</v>
      </c>
      <c r="B10" s="663" t="s">
        <v>143</v>
      </c>
      <c r="C10" s="668" t="s">
        <v>133</v>
      </c>
      <c r="D10" s="664" t="s">
        <v>144</v>
      </c>
      <c r="E10" s="663" t="s">
        <v>145</v>
      </c>
    </row>
    <row r="11" spans="1:5" ht="72">
      <c r="A11" s="662">
        <v>7</v>
      </c>
      <c r="B11" s="663" t="s">
        <v>146</v>
      </c>
      <c r="C11" s="668" t="s">
        <v>126</v>
      </c>
      <c r="D11" s="664" t="s">
        <v>147</v>
      </c>
      <c r="E11" s="663" t="s">
        <v>148</v>
      </c>
    </row>
    <row r="12" spans="1:5" ht="57.6">
      <c r="A12" s="662">
        <v>8</v>
      </c>
      <c r="B12" s="663" t="s">
        <v>149</v>
      </c>
      <c r="C12" s="668" t="s">
        <v>126</v>
      </c>
      <c r="D12" s="664" t="s">
        <v>150</v>
      </c>
      <c r="E12" s="663" t="s">
        <v>151</v>
      </c>
    </row>
    <row r="13" spans="1:5" ht="57.6">
      <c r="A13" s="662"/>
      <c r="B13" s="663"/>
      <c r="C13" s="666"/>
      <c r="D13" s="664"/>
      <c r="E13" s="663"/>
    </row>
    <row r="14" spans="1:5" ht="28.8">
      <c r="A14" s="662"/>
      <c r="B14" s="663"/>
      <c r="C14" s="668"/>
      <c r="D14" s="664"/>
      <c r="E14" s="663"/>
    </row>
    <row r="15" spans="1:5">
      <c r="A15" s="662"/>
      <c r="B15" s="663"/>
      <c r="C15" s="666"/>
      <c r="D15" s="664"/>
      <c r="E15" s="665"/>
    </row>
    <row r="17" spans="1:5">
      <c r="A17" s="553" t="s">
        <v>152</v>
      </c>
      <c r="B17" s="553"/>
      <c r="C17" s="553"/>
      <c r="D17" s="553"/>
      <c r="E17" s="553"/>
    </row>
    <row r="18" spans="1:5">
      <c r="A18" s="669" t="s">
        <v>153</v>
      </c>
    </row>
    <row r="19" spans="1:5">
      <c r="A19" s="669" t="s">
        <v>154</v>
      </c>
    </row>
    <row r="20" spans="1:5">
      <c r="A20" s="669" t="s">
        <v>155</v>
      </c>
    </row>
    <row r="21" spans="1:5">
      <c r="A21" s="669" t="s">
        <v>156</v>
      </c>
    </row>
    <row r="22" spans="1:5">
      <c r="A22" s="669"/>
    </row>
    <row r="23" spans="1:5">
      <c r="A23" s="669"/>
    </row>
    <row r="24" spans="1:5">
      <c r="A24" s="618"/>
    </row>
    <row r="25" spans="1:5">
      <c r="A25" s="618"/>
    </row>
    <row r="26" spans="1:5">
      <c r="A26" s="618"/>
    </row>
    <row r="27" spans="1:5">
      <c r="A27" s="618"/>
    </row>
    <row r="28" spans="1:5">
      <c r="A28" s="618"/>
    </row>
    <row r="29" spans="1:5">
      <c r="A29" s="618"/>
    </row>
  </sheetData>
  <mergeCells count="1">
    <mergeCell ref="A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14FF4-B9C9-44C3-975D-00A6558F5ECF}">
  <sheetPr>
    <tabColor rgb="FF8EA9DB"/>
  </sheetPr>
  <dimension ref="A1:C117"/>
  <sheetViews>
    <sheetView topLeftCell="A105" workbookViewId="0">
      <selection activeCell="B34" sqref="B34:B37"/>
    </sheetView>
  </sheetViews>
  <sheetFormatPr defaultRowHeight="14.4"/>
  <cols>
    <col min="1" max="1" width="42.5546875" customWidth="1"/>
    <col min="2" max="2" width="61.109375" customWidth="1"/>
    <col min="3" max="3" width="55.5546875" customWidth="1"/>
  </cols>
  <sheetData>
    <row r="1" spans="1:3" ht="46.8">
      <c r="A1" s="507" t="s">
        <v>157</v>
      </c>
      <c r="B1" s="506"/>
      <c r="C1" s="506"/>
    </row>
    <row r="2" spans="1:3" ht="43.2">
      <c r="A2" s="508" t="s">
        <v>158</v>
      </c>
      <c r="B2" s="506"/>
      <c r="C2" s="506"/>
    </row>
    <row r="3" spans="1:3">
      <c r="A3" s="506"/>
      <c r="B3" s="506"/>
      <c r="C3" s="506"/>
    </row>
    <row r="4" spans="1:3" ht="17.399999999999999">
      <c r="A4" s="509" t="s">
        <v>159</v>
      </c>
      <c r="B4" s="506"/>
      <c r="C4" s="506"/>
    </row>
    <row r="5" spans="1:3" ht="57.6">
      <c r="A5" s="510" t="s">
        <v>160</v>
      </c>
      <c r="B5" s="506" t="s">
        <v>161</v>
      </c>
      <c r="C5" s="506"/>
    </row>
    <row r="6" spans="1:3" ht="43.2">
      <c r="A6" s="510" t="s">
        <v>162</v>
      </c>
      <c r="B6" s="506" t="s">
        <v>163</v>
      </c>
      <c r="C6" s="506"/>
    </row>
    <row r="7" spans="1:3" ht="86.4">
      <c r="A7" s="510" t="s">
        <v>164</v>
      </c>
      <c r="B7" s="505" t="s">
        <v>165</v>
      </c>
      <c r="C7" s="506"/>
    </row>
    <row r="8" spans="1:3" ht="43.2">
      <c r="A8" s="510" t="s">
        <v>166</v>
      </c>
      <c r="B8" s="506" t="s">
        <v>167</v>
      </c>
      <c r="C8" s="506"/>
    </row>
    <row r="9" spans="1:3" ht="43.2">
      <c r="A9" s="511" t="s">
        <v>168</v>
      </c>
      <c r="B9" s="512" t="s">
        <v>169</v>
      </c>
      <c r="C9" s="506"/>
    </row>
    <row r="10" spans="1:3">
      <c r="A10" s="506"/>
      <c r="B10" s="506"/>
      <c r="C10" s="506"/>
    </row>
    <row r="11" spans="1:3" ht="34.799999999999997">
      <c r="A11" s="509" t="s">
        <v>170</v>
      </c>
      <c r="B11" s="506"/>
      <c r="C11" s="506"/>
    </row>
    <row r="12" spans="1:3" ht="43.2">
      <c r="A12" s="508" t="s">
        <v>171</v>
      </c>
      <c r="B12" s="506"/>
      <c r="C12" s="506"/>
    </row>
    <row r="13" spans="1:3">
      <c r="A13" s="513" t="s">
        <v>172</v>
      </c>
      <c r="B13" s="513" t="s">
        <v>173</v>
      </c>
      <c r="C13" s="513" t="s">
        <v>174</v>
      </c>
    </row>
    <row r="14" spans="1:3" ht="28.8">
      <c r="A14" s="510" t="s">
        <v>175</v>
      </c>
      <c r="B14" s="506" t="s">
        <v>12</v>
      </c>
      <c r="C14" s="506" t="s">
        <v>176</v>
      </c>
    </row>
    <row r="15" spans="1:3" ht="28.8">
      <c r="A15" s="510" t="s">
        <v>177</v>
      </c>
      <c r="B15" s="506" t="s">
        <v>178</v>
      </c>
      <c r="C15" s="506" t="s">
        <v>179</v>
      </c>
    </row>
    <row r="16" spans="1:3" ht="28.8">
      <c r="A16" s="510" t="s">
        <v>180</v>
      </c>
      <c r="B16" s="506" t="s">
        <v>27</v>
      </c>
      <c r="C16" s="506" t="s">
        <v>181</v>
      </c>
    </row>
    <row r="17" spans="1:3" ht="28.8">
      <c r="A17" s="510" t="s">
        <v>182</v>
      </c>
      <c r="B17" s="506" t="s">
        <v>32</v>
      </c>
      <c r="C17" s="506" t="s">
        <v>183</v>
      </c>
    </row>
    <row r="18" spans="1:3" ht="28.8">
      <c r="A18" s="510" t="s">
        <v>184</v>
      </c>
      <c r="B18" s="506" t="s">
        <v>185</v>
      </c>
      <c r="C18" s="506" t="s">
        <v>186</v>
      </c>
    </row>
    <row r="19" spans="1:3" ht="28.8">
      <c r="A19" s="510" t="s">
        <v>187</v>
      </c>
      <c r="B19" s="506" t="s">
        <v>188</v>
      </c>
      <c r="C19" s="506" t="s">
        <v>189</v>
      </c>
    </row>
    <row r="20" spans="1:3" ht="28.8">
      <c r="A20" s="510" t="s">
        <v>190</v>
      </c>
      <c r="B20" s="506" t="s">
        <v>191</v>
      </c>
      <c r="C20" s="506" t="s">
        <v>192</v>
      </c>
    </row>
    <row r="21" spans="1:3" ht="28.8">
      <c r="A21" s="510" t="s">
        <v>193</v>
      </c>
      <c r="B21" s="506" t="s">
        <v>194</v>
      </c>
      <c r="C21" s="506" t="s">
        <v>195</v>
      </c>
    </row>
    <row r="22" spans="1:3">
      <c r="A22" s="506"/>
      <c r="B22" s="506"/>
      <c r="C22" s="506"/>
    </row>
    <row r="23" spans="1:3" ht="34.799999999999997">
      <c r="A23" s="509" t="s">
        <v>196</v>
      </c>
      <c r="B23" s="506"/>
      <c r="C23" s="506"/>
    </row>
    <row r="24" spans="1:3" ht="28.8">
      <c r="A24" s="514" t="s">
        <v>197</v>
      </c>
      <c r="B24" s="506"/>
      <c r="C24" s="506"/>
    </row>
    <row r="25" spans="1:3">
      <c r="A25" s="513" t="s">
        <v>198</v>
      </c>
      <c r="B25" s="513" t="s">
        <v>199</v>
      </c>
      <c r="C25" s="513" t="s">
        <v>200</v>
      </c>
    </row>
    <row r="26" spans="1:3" ht="28.8">
      <c r="A26" s="515">
        <v>1</v>
      </c>
      <c r="B26" s="506" t="s">
        <v>201</v>
      </c>
      <c r="C26" s="506" t="s">
        <v>202</v>
      </c>
    </row>
    <row r="27" spans="1:3" ht="43.2">
      <c r="A27" s="515">
        <v>2</v>
      </c>
      <c r="B27" s="506" t="s">
        <v>203</v>
      </c>
      <c r="C27" s="506" t="s">
        <v>204</v>
      </c>
    </row>
    <row r="28" spans="1:3">
      <c r="A28" s="515">
        <v>3</v>
      </c>
      <c r="B28" s="506" t="s">
        <v>205</v>
      </c>
      <c r="C28" s="506" t="s">
        <v>27</v>
      </c>
    </row>
    <row r="29" spans="1:3">
      <c r="A29" s="515">
        <v>4</v>
      </c>
      <c r="B29" s="506" t="s">
        <v>206</v>
      </c>
      <c r="C29" s="506" t="s">
        <v>207</v>
      </c>
    </row>
    <row r="30" spans="1:3" ht="28.8">
      <c r="A30" s="515">
        <v>5</v>
      </c>
      <c r="B30" s="506" t="s">
        <v>208</v>
      </c>
      <c r="C30" s="506" t="s">
        <v>30</v>
      </c>
    </row>
    <row r="31" spans="1:3">
      <c r="A31" s="515">
        <v>6</v>
      </c>
      <c r="B31" s="506" t="s">
        <v>209</v>
      </c>
      <c r="C31" s="506" t="s">
        <v>210</v>
      </c>
    </row>
    <row r="32" spans="1:3" ht="28.8">
      <c r="A32" s="515">
        <v>7</v>
      </c>
      <c r="B32" s="506" t="s">
        <v>211</v>
      </c>
      <c r="C32" s="506" t="s">
        <v>212</v>
      </c>
    </row>
    <row r="33" spans="1:3">
      <c r="A33" s="515">
        <v>8</v>
      </c>
      <c r="B33" s="506" t="s">
        <v>213</v>
      </c>
      <c r="C33" s="506" t="s">
        <v>214</v>
      </c>
    </row>
    <row r="34" spans="1:3">
      <c r="A34" s="506"/>
      <c r="B34" s="506"/>
      <c r="C34" s="506"/>
    </row>
    <row r="35" spans="1:3" ht="17.399999999999999">
      <c r="A35" s="509" t="s">
        <v>215</v>
      </c>
      <c r="B35" s="506"/>
      <c r="C35" s="506"/>
    </row>
    <row r="36" spans="1:3" ht="28.8">
      <c r="A36" s="508" t="s">
        <v>216</v>
      </c>
      <c r="B36" s="506"/>
      <c r="C36" s="506"/>
    </row>
    <row r="37" spans="1:3">
      <c r="A37" s="506"/>
      <c r="B37" s="506"/>
      <c r="C37" s="506"/>
    </row>
    <row r="38" spans="1:3">
      <c r="A38" s="513" t="s">
        <v>217</v>
      </c>
      <c r="B38" s="506"/>
      <c r="C38" s="506"/>
    </row>
    <row r="39" spans="1:3" ht="28.8">
      <c r="A39" s="510" t="s">
        <v>218</v>
      </c>
      <c r="B39" s="506" t="s">
        <v>219</v>
      </c>
      <c r="C39" s="506"/>
    </row>
    <row r="40" spans="1:3" ht="43.2">
      <c r="A40" s="510" t="s">
        <v>220</v>
      </c>
      <c r="B40" s="505" t="s">
        <v>221</v>
      </c>
      <c r="C40" s="506"/>
    </row>
    <row r="41" spans="1:3" ht="100.8">
      <c r="A41" s="510" t="s">
        <v>222</v>
      </c>
      <c r="B41" s="506" t="s">
        <v>223</v>
      </c>
      <c r="C41" s="506"/>
    </row>
    <row r="42" spans="1:3">
      <c r="A42" s="506"/>
      <c r="B42" s="506"/>
      <c r="C42" s="506"/>
    </row>
    <row r="43" spans="1:3">
      <c r="A43" s="513" t="s">
        <v>224</v>
      </c>
      <c r="B43" s="506"/>
      <c r="C43" s="506"/>
    </row>
    <row r="44" spans="1:3" ht="57.6">
      <c r="A44" s="510" t="s">
        <v>218</v>
      </c>
      <c r="B44" s="506" t="s">
        <v>225</v>
      </c>
      <c r="C44" s="506"/>
    </row>
    <row r="45" spans="1:3" ht="43.2">
      <c r="A45" s="510" t="s">
        <v>220</v>
      </c>
      <c r="B45" s="505" t="s">
        <v>226</v>
      </c>
      <c r="C45" s="506"/>
    </row>
    <row r="46" spans="1:3" ht="115.2">
      <c r="A46" s="510" t="s">
        <v>222</v>
      </c>
      <c r="B46" s="506" t="s">
        <v>227</v>
      </c>
      <c r="C46" s="506"/>
    </row>
    <row r="47" spans="1:3" ht="28.8">
      <c r="A47" s="511" t="s">
        <v>228</v>
      </c>
      <c r="B47" s="512" t="s">
        <v>229</v>
      </c>
      <c r="C47" s="506"/>
    </row>
    <row r="48" spans="1:3">
      <c r="A48" s="506"/>
      <c r="B48" s="506"/>
      <c r="C48" s="506"/>
    </row>
    <row r="49" spans="1:3">
      <c r="A49" s="513" t="s">
        <v>230</v>
      </c>
      <c r="B49" s="506"/>
      <c r="C49" s="506"/>
    </row>
    <row r="50" spans="1:3" ht="43.2">
      <c r="A50" s="510" t="s">
        <v>218</v>
      </c>
      <c r="B50" s="506" t="s">
        <v>231</v>
      </c>
      <c r="C50" s="506"/>
    </row>
    <row r="51" spans="1:3" ht="28.8">
      <c r="A51" s="510" t="s">
        <v>220</v>
      </c>
      <c r="B51" s="505" t="s">
        <v>232</v>
      </c>
      <c r="C51" s="506"/>
    </row>
    <row r="52" spans="1:3" ht="115.2">
      <c r="A52" s="510" t="s">
        <v>222</v>
      </c>
      <c r="B52" s="506" t="s">
        <v>233</v>
      </c>
      <c r="C52" s="506"/>
    </row>
    <row r="53" spans="1:3">
      <c r="A53" s="506"/>
      <c r="B53" s="506"/>
      <c r="C53" s="506"/>
    </row>
    <row r="54" spans="1:3" ht="28.8">
      <c r="A54" s="513" t="s">
        <v>234</v>
      </c>
      <c r="B54" s="506"/>
      <c r="C54" s="506"/>
    </row>
    <row r="55" spans="1:3" ht="43.2">
      <c r="A55" s="510" t="s">
        <v>218</v>
      </c>
      <c r="B55" s="506" t="s">
        <v>235</v>
      </c>
      <c r="C55" s="506"/>
    </row>
    <row r="56" spans="1:3" ht="28.8">
      <c r="A56" s="510" t="s">
        <v>220</v>
      </c>
      <c r="B56" s="505" t="s">
        <v>236</v>
      </c>
      <c r="C56" s="506"/>
    </row>
    <row r="57" spans="1:3" ht="72">
      <c r="A57" s="510" t="s">
        <v>222</v>
      </c>
      <c r="B57" s="506" t="s">
        <v>237</v>
      </c>
      <c r="C57" s="506"/>
    </row>
    <row r="58" spans="1:3">
      <c r="A58" s="506"/>
      <c r="B58" s="506"/>
      <c r="C58" s="506"/>
    </row>
    <row r="59" spans="1:3">
      <c r="A59" s="513" t="s">
        <v>238</v>
      </c>
      <c r="B59" s="506"/>
      <c r="C59" s="506"/>
    </row>
    <row r="60" spans="1:3" ht="28.8">
      <c r="A60" s="510" t="s">
        <v>218</v>
      </c>
      <c r="B60" s="506" t="s">
        <v>239</v>
      </c>
      <c r="C60" s="506"/>
    </row>
    <row r="61" spans="1:3" ht="28.8">
      <c r="A61" s="510" t="s">
        <v>220</v>
      </c>
      <c r="B61" s="505" t="s">
        <v>240</v>
      </c>
      <c r="C61" s="506"/>
    </row>
    <row r="62" spans="1:3" ht="72">
      <c r="A62" s="510" t="s">
        <v>222</v>
      </c>
      <c r="B62" s="506" t="s">
        <v>241</v>
      </c>
      <c r="C62" s="506"/>
    </row>
    <row r="63" spans="1:3">
      <c r="A63" s="506"/>
      <c r="B63" s="506"/>
      <c r="C63" s="506"/>
    </row>
    <row r="64" spans="1:3" ht="28.8">
      <c r="A64" s="513" t="s">
        <v>242</v>
      </c>
      <c r="B64" s="506"/>
      <c r="C64" s="506"/>
    </row>
    <row r="65" spans="1:3" ht="28.8">
      <c r="A65" s="510" t="s">
        <v>218</v>
      </c>
      <c r="B65" s="506" t="s">
        <v>243</v>
      </c>
      <c r="C65" s="506"/>
    </row>
    <row r="66" spans="1:3" ht="43.2">
      <c r="A66" s="510" t="s">
        <v>220</v>
      </c>
      <c r="B66" s="505" t="s">
        <v>244</v>
      </c>
      <c r="C66" s="506"/>
    </row>
    <row r="67" spans="1:3" ht="86.4">
      <c r="A67" s="510" t="s">
        <v>222</v>
      </c>
      <c r="B67" s="506" t="s">
        <v>245</v>
      </c>
      <c r="C67" s="506"/>
    </row>
    <row r="68" spans="1:3">
      <c r="A68" s="506"/>
      <c r="B68" s="506"/>
      <c r="C68" s="506"/>
    </row>
    <row r="69" spans="1:3">
      <c r="A69" s="513" t="s">
        <v>246</v>
      </c>
      <c r="B69" s="506"/>
      <c r="C69" s="506"/>
    </row>
    <row r="70" spans="1:3" ht="43.2">
      <c r="A70" s="510" t="s">
        <v>218</v>
      </c>
      <c r="B70" s="506" t="s">
        <v>247</v>
      </c>
      <c r="C70" s="506"/>
    </row>
    <row r="71" spans="1:3" ht="43.2">
      <c r="A71" s="510" t="s">
        <v>220</v>
      </c>
      <c r="B71" s="505" t="s">
        <v>248</v>
      </c>
      <c r="C71" s="506"/>
    </row>
    <row r="72" spans="1:3" ht="129.6">
      <c r="A72" s="510" t="s">
        <v>222</v>
      </c>
      <c r="B72" s="506" t="s">
        <v>249</v>
      </c>
      <c r="C72" s="506"/>
    </row>
    <row r="73" spans="1:3">
      <c r="A73" s="506"/>
      <c r="B73" s="506"/>
      <c r="C73" s="506"/>
    </row>
    <row r="74" spans="1:3">
      <c r="A74" s="513" t="s">
        <v>250</v>
      </c>
      <c r="B74" s="506"/>
      <c r="C74" s="506"/>
    </row>
    <row r="75" spans="1:3" ht="28.8">
      <c r="A75" s="510" t="s">
        <v>218</v>
      </c>
      <c r="B75" s="506" t="s">
        <v>251</v>
      </c>
      <c r="C75" s="506"/>
    </row>
    <row r="76" spans="1:3" ht="43.2">
      <c r="A76" s="510" t="s">
        <v>220</v>
      </c>
      <c r="B76" s="505" t="s">
        <v>252</v>
      </c>
      <c r="C76" s="506"/>
    </row>
    <row r="77" spans="1:3" ht="57.6">
      <c r="A77" s="510" t="s">
        <v>222</v>
      </c>
      <c r="B77" s="506" t="s">
        <v>253</v>
      </c>
      <c r="C77" s="506"/>
    </row>
    <row r="78" spans="1:3">
      <c r="A78" s="506"/>
      <c r="B78" s="506"/>
      <c r="C78" s="506"/>
    </row>
    <row r="79" spans="1:3" ht="28.8">
      <c r="A79" s="513" t="s">
        <v>254</v>
      </c>
      <c r="B79" s="506"/>
      <c r="C79" s="506"/>
    </row>
    <row r="80" spans="1:3" ht="28.8">
      <c r="A80" s="510" t="s">
        <v>218</v>
      </c>
      <c r="B80" s="506" t="s">
        <v>255</v>
      </c>
      <c r="C80" s="506"/>
    </row>
    <row r="81" spans="1:3" ht="43.2">
      <c r="A81" s="510" t="s">
        <v>220</v>
      </c>
      <c r="B81" s="505" t="s">
        <v>256</v>
      </c>
      <c r="C81" s="506"/>
    </row>
    <row r="82" spans="1:3" ht="100.8">
      <c r="A82" s="510" t="s">
        <v>222</v>
      </c>
      <c r="B82" s="506" t="s">
        <v>257</v>
      </c>
      <c r="C82" s="506"/>
    </row>
    <row r="83" spans="1:3" ht="43.2">
      <c r="A83" s="674" t="s">
        <v>258</v>
      </c>
      <c r="B83" s="675" t="s">
        <v>259</v>
      </c>
      <c r="C83" s="506"/>
    </row>
    <row r="84" spans="1:3">
      <c r="A84" s="506"/>
      <c r="B84" s="506"/>
      <c r="C84" s="506"/>
    </row>
    <row r="85" spans="1:3">
      <c r="A85" s="513" t="s">
        <v>260</v>
      </c>
      <c r="B85" s="506"/>
      <c r="C85" s="506"/>
    </row>
    <row r="86" spans="1:3" ht="43.2">
      <c r="A86" s="510" t="s">
        <v>218</v>
      </c>
      <c r="B86" s="506" t="s">
        <v>261</v>
      </c>
      <c r="C86" s="506"/>
    </row>
    <row r="87" spans="1:3" ht="57.6">
      <c r="A87" s="510" t="s">
        <v>220</v>
      </c>
      <c r="B87" s="505" t="s">
        <v>262</v>
      </c>
      <c r="C87" s="506"/>
    </row>
    <row r="88" spans="1:3" ht="100.8">
      <c r="A88" s="510" t="s">
        <v>222</v>
      </c>
      <c r="B88" s="506" t="s">
        <v>263</v>
      </c>
      <c r="C88" s="506"/>
    </row>
    <row r="89" spans="1:3" ht="57.6">
      <c r="A89" s="511" t="s">
        <v>228</v>
      </c>
      <c r="B89" s="512" t="s">
        <v>264</v>
      </c>
      <c r="C89" s="506"/>
    </row>
    <row r="90" spans="1:3">
      <c r="A90" s="506"/>
      <c r="B90" s="506"/>
      <c r="C90" s="506"/>
    </row>
    <row r="91" spans="1:3" ht="34.799999999999997">
      <c r="A91" s="509" t="s">
        <v>265</v>
      </c>
      <c r="B91" s="506"/>
      <c r="C91" s="506"/>
    </row>
    <row r="92" spans="1:3">
      <c r="A92" s="513" t="s">
        <v>266</v>
      </c>
      <c r="B92" s="513" t="s">
        <v>267</v>
      </c>
      <c r="C92" s="513" t="s">
        <v>268</v>
      </c>
    </row>
    <row r="93" spans="1:3" ht="28.8">
      <c r="A93" s="516" t="s">
        <v>269</v>
      </c>
      <c r="B93" s="506" t="s">
        <v>270</v>
      </c>
      <c r="C93" s="505" t="s">
        <v>271</v>
      </c>
    </row>
    <row r="94" spans="1:3">
      <c r="A94" s="517" t="s">
        <v>272</v>
      </c>
      <c r="B94" s="506" t="s">
        <v>273</v>
      </c>
      <c r="C94" s="506" t="s">
        <v>274</v>
      </c>
    </row>
    <row r="95" spans="1:3">
      <c r="A95" s="518" t="s">
        <v>275</v>
      </c>
      <c r="B95" s="506" t="s">
        <v>276</v>
      </c>
      <c r="C95" s="506" t="s">
        <v>277</v>
      </c>
    </row>
    <row r="96" spans="1:3">
      <c r="A96" s="519" t="s">
        <v>278</v>
      </c>
      <c r="B96" s="506" t="s">
        <v>279</v>
      </c>
      <c r="C96" s="520" t="s">
        <v>280</v>
      </c>
    </row>
    <row r="97" spans="1:3">
      <c r="A97" s="506"/>
      <c r="B97" s="506"/>
      <c r="C97" s="506"/>
    </row>
    <row r="98" spans="1:3" ht="17.399999999999999">
      <c r="A98" s="509" t="s">
        <v>281</v>
      </c>
      <c r="B98" s="506"/>
      <c r="C98" s="506"/>
    </row>
    <row r="99" spans="1:3" ht="43.2">
      <c r="A99" s="512" t="s">
        <v>282</v>
      </c>
      <c r="B99" s="506"/>
      <c r="C99" s="506"/>
    </row>
    <row r="100" spans="1:3" ht="28.8">
      <c r="A100" s="512" t="s">
        <v>283</v>
      </c>
      <c r="B100" s="506"/>
      <c r="C100" s="506"/>
    </row>
    <row r="101" spans="1:3" ht="43.2">
      <c r="A101" s="512" t="s">
        <v>284</v>
      </c>
      <c r="B101" s="506"/>
      <c r="C101" s="506"/>
    </row>
    <row r="102" spans="1:3" ht="28.8">
      <c r="A102" s="521" t="s">
        <v>285</v>
      </c>
      <c r="B102" s="506"/>
      <c r="C102" s="506"/>
    </row>
    <row r="103" spans="1:3" ht="28.8">
      <c r="A103" s="521" t="s">
        <v>286</v>
      </c>
      <c r="B103" s="506"/>
      <c r="C103" s="506"/>
    </row>
    <row r="104" spans="1:3" ht="43.2">
      <c r="A104" s="521" t="s">
        <v>287</v>
      </c>
      <c r="B104" s="506"/>
      <c r="C104" s="506"/>
    </row>
    <row r="105" spans="1:3">
      <c r="A105" s="506"/>
      <c r="B105" s="506"/>
      <c r="C105" s="506"/>
    </row>
    <row r="106" spans="1:3" ht="17.399999999999999">
      <c r="A106" s="509" t="s">
        <v>288</v>
      </c>
      <c r="B106" s="506"/>
      <c r="C106" s="506"/>
    </row>
    <row r="107" spans="1:3">
      <c r="A107" s="513" t="s">
        <v>289</v>
      </c>
      <c r="B107" s="513" t="s">
        <v>290</v>
      </c>
      <c r="C107" s="513" t="s">
        <v>291</v>
      </c>
    </row>
    <row r="108" spans="1:3">
      <c r="A108" s="510" t="s">
        <v>292</v>
      </c>
      <c r="B108" s="505" t="s">
        <v>293</v>
      </c>
      <c r="C108" s="505" t="s">
        <v>294</v>
      </c>
    </row>
    <row r="109" spans="1:3">
      <c r="A109" s="510" t="s">
        <v>295</v>
      </c>
      <c r="B109" s="505" t="s">
        <v>296</v>
      </c>
      <c r="C109" s="505" t="s">
        <v>297</v>
      </c>
    </row>
    <row r="110" spans="1:3">
      <c r="A110" s="510" t="s">
        <v>298</v>
      </c>
      <c r="B110" s="505" t="s">
        <v>296</v>
      </c>
      <c r="C110" s="505" t="s">
        <v>299</v>
      </c>
    </row>
    <row r="111" spans="1:3">
      <c r="A111" s="510" t="s">
        <v>300</v>
      </c>
      <c r="B111" s="505" t="s">
        <v>296</v>
      </c>
      <c r="C111" s="505" t="s">
        <v>301</v>
      </c>
    </row>
    <row r="112" spans="1:3" ht="43.2">
      <c r="A112" s="514" t="s">
        <v>302</v>
      </c>
      <c r="B112" s="506"/>
      <c r="C112" s="506"/>
    </row>
    <row r="113" spans="1:3">
      <c r="A113" s="506"/>
      <c r="B113" s="506"/>
      <c r="C113" s="506"/>
    </row>
    <row r="114" spans="1:3" ht="17.399999999999999">
      <c r="A114" s="509" t="s">
        <v>303</v>
      </c>
      <c r="B114" s="506"/>
      <c r="C114" s="506"/>
    </row>
    <row r="115" spans="1:3" ht="28.8">
      <c r="A115" s="506" t="s">
        <v>304</v>
      </c>
      <c r="B115" s="506"/>
      <c r="C115" s="506"/>
    </row>
    <row r="116" spans="1:3" ht="43.2">
      <c r="A116" s="506" t="s">
        <v>305</v>
      </c>
      <c r="B116" s="506"/>
      <c r="C116" s="506"/>
    </row>
    <row r="117" spans="1:3" ht="28.8">
      <c r="A117" s="508" t="s">
        <v>306</v>
      </c>
      <c r="B117" s="506"/>
      <c r="C117" s="50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094E7-4F54-4B12-95F4-1D01BEAD0185}">
  <sheetPr>
    <tabColor rgb="FF8EA9DB"/>
  </sheetPr>
  <dimension ref="A1:B66"/>
  <sheetViews>
    <sheetView topLeftCell="A38" workbookViewId="0">
      <selection activeCell="B50" sqref="B50"/>
    </sheetView>
  </sheetViews>
  <sheetFormatPr defaultRowHeight="14.4"/>
  <cols>
    <col min="1" max="1" width="74.109375" customWidth="1"/>
    <col min="2" max="2" width="30.44140625" bestFit="1" customWidth="1"/>
  </cols>
  <sheetData>
    <row r="1" spans="1:2" ht="34.950000000000003" customHeight="1">
      <c r="A1" s="820" t="s">
        <v>307</v>
      </c>
      <c r="B1" s="821"/>
    </row>
    <row r="3" spans="1:2" ht="15.6">
      <c r="A3" s="21" t="s">
        <v>308</v>
      </c>
      <c r="B3" s="25"/>
    </row>
    <row r="5" spans="1:2" ht="15.6">
      <c r="A5" s="26" t="s">
        <v>309</v>
      </c>
      <c r="B5" s="27"/>
    </row>
    <row r="7" spans="1:2" ht="15.6">
      <c r="A7" s="302" t="s">
        <v>310</v>
      </c>
      <c r="B7" s="21"/>
    </row>
    <row r="8" spans="1:2">
      <c r="A8" t="s">
        <v>311</v>
      </c>
    </row>
    <row r="9" spans="1:2">
      <c r="A9" t="s">
        <v>312</v>
      </c>
    </row>
    <row r="10" spans="1:2">
      <c r="A10" t="s">
        <v>313</v>
      </c>
    </row>
    <row r="11" spans="1:2">
      <c r="A11">
        <f>"• Sound horn at halftime ("&amp;Inputs!C7/2&amp;" min) and end of game ("&amp;Inputs!C7&amp;" min)"</f>
      </c>
    </row>
    <row r="12" spans="1:2">
      <c r="A12" t="s">
        <v>314</v>
      </c>
    </row>
    <row r="13" spans="1:2">
      <c r="A13" t="s">
        <v>315</v>
      </c>
    </row>
    <row r="14" spans="1:2">
      <c r="A14" t="s">
        <v>316</v>
      </c>
    </row>
    <row r="16" spans="1:2" ht="15.6">
      <c r="A16" s="302" t="s">
        <v>317</v>
      </c>
      <c r="B16" s="21"/>
    </row>
    <row r="17" spans="1:2">
      <c r="A17" t="s">
        <v>311</v>
      </c>
    </row>
    <row r="18" spans="1:2">
      <c r="A18" t="s">
        <v>312</v>
      </c>
    </row>
    <row r="19" spans="1:2">
      <c r="A19" t="s">
        <v>318</v>
      </c>
    </row>
    <row r="20" spans="1:2">
      <c r="A20" t="s">
        <v>319</v>
      </c>
    </row>
    <row r="21" spans="1:2">
      <c r="A21" t="s">
        <v>320</v>
      </c>
    </row>
    <row r="22" spans="1:2">
      <c r="A22" t="s">
        <v>321</v>
      </c>
    </row>
    <row r="23" spans="1:2">
      <c r="A23" t="s">
        <v>316</v>
      </c>
    </row>
    <row r="25" spans="1:2" ht="15.6">
      <c r="A25" s="302" t="s">
        <v>322</v>
      </c>
      <c r="B25" s="21"/>
    </row>
    <row r="26" spans="1:2">
      <c r="A26" t="s">
        <v>323</v>
      </c>
    </row>
    <row r="27" spans="1:2">
      <c r="A27" t="s">
        <v>324</v>
      </c>
    </row>
    <row r="28" spans="1:2">
      <c r="A28" t="s">
        <v>312</v>
      </c>
    </row>
    <row r="29" spans="1:2">
      <c r="A29" t="s">
        <v>325</v>
      </c>
    </row>
    <row r="30" spans="1:2">
      <c r="A30" t="s">
        <v>326</v>
      </c>
    </row>
    <row r="31" spans="1:2">
      <c r="A31" t="s">
        <v>327</v>
      </c>
    </row>
    <row r="32" spans="1:2">
      <c r="A32" t="s">
        <v>328</v>
      </c>
    </row>
    <row r="34" spans="1:2" ht="15.6">
      <c r="A34" s="302" t="s">
        <v>329</v>
      </c>
      <c r="B34" s="21"/>
    </row>
    <row r="35" spans="1:2">
      <c r="A35" t="s">
        <v>330</v>
      </c>
    </row>
    <row r="36" spans="1:2">
      <c r="A36" t="s">
        <v>312</v>
      </c>
    </row>
    <row r="37" spans="1:2">
      <c r="A37" t="s">
        <v>331</v>
      </c>
    </row>
    <row r="38" spans="1:2">
      <c r="A38" t="s">
        <v>332</v>
      </c>
    </row>
    <row r="40" spans="1:2" ht="15.6">
      <c r="A40" s="302" t="s">
        <v>333</v>
      </c>
      <c r="B40" s="21"/>
    </row>
    <row r="41" spans="1:2">
      <c r="A41" t="s">
        <v>334</v>
      </c>
    </row>
    <row r="42" spans="1:2">
      <c r="A42" t="s">
        <v>312</v>
      </c>
    </row>
    <row r="43" spans="1:2">
      <c r="A43" t="s">
        <v>335</v>
      </c>
    </row>
    <row r="44" spans="1:2">
      <c r="A44" t="s">
        <v>336</v>
      </c>
    </row>
    <row r="45" spans="1:2">
      <c r="A45" t="s">
        <v>337</v>
      </c>
    </row>
    <row r="47" spans="1:2" ht="15.6">
      <c r="A47" s="166" t="s">
        <v>338</v>
      </c>
      <c r="B47" s="27"/>
    </row>
    <row r="48" spans="1:2" ht="15.6">
      <c r="A48" s="18"/>
    </row>
    <row r="49" spans="1:2">
      <c r="A49" s="303" t="s">
        <v>339</v>
      </c>
      <c r="B49" s="303" t="s">
        <v>340</v>
      </c>
    </row>
    <row r="50" spans="1:2">
      <c r="A50" t="s">
        <v>341</v>
      </c>
      <c r="B50">
        <f>"Teams begin warm-up ("&amp;Inputs!C6&amp;" min)"</f>
      </c>
    </row>
    <row r="51" spans="1:2">
      <c r="A51" t="s">
        <v>342</v>
      </c>
      <c r="B51">
        <f>"First half starts ("&amp;Inputs!C7/2&amp;" min)"</f>
      </c>
    </row>
    <row r="52" spans="1:2">
      <c r="A52" t="s">
        <v>343</v>
      </c>
      <c r="B52">
        <f>"Break ("&amp;Inputs!C8&amp;" min)"</f>
      </c>
    </row>
    <row r="53" spans="1:2">
      <c r="A53" t="s">
        <v>344</v>
      </c>
      <c r="B53">
        <f>"Resumes ("&amp;Inputs!C7/2&amp;" min)"</f>
      </c>
    </row>
    <row r="54" spans="1:2">
      <c r="A54" t="s">
        <v>345</v>
      </c>
      <c r="B54">
        <f>"Maximum ~"&amp;Inputs!C10&amp;" min after Court Time"</f>
      </c>
    </row>
    <row r="56" spans="1:2" ht="15.6">
      <c r="A56" s="166" t="s">
        <v>346</v>
      </c>
      <c r="B56" s="27"/>
    </row>
    <row r="57" spans="1:2">
      <c r="A57" t="s">
        <v>347</v>
      </c>
    </row>
    <row r="58" spans="1:2">
      <c r="A58" t="s">
        <v>348</v>
      </c>
    </row>
    <row r="59" spans="1:2">
      <c r="A59" t="s">
        <v>349</v>
      </c>
    </row>
    <row r="60" spans="1:2">
      <c r="A60" t="s">
        <v>350</v>
      </c>
    </row>
    <row r="62" spans="1:2" ht="15.6">
      <c r="A62" s="166" t="s">
        <v>351</v>
      </c>
      <c r="B62" s="27"/>
    </row>
    <row r="63" spans="1:2" ht="15.6">
      <c r="A63" s="18" t="s">
        <v>352</v>
      </c>
    </row>
    <row r="64" spans="1:2">
      <c r="A64" t="s">
        <v>353</v>
      </c>
    </row>
    <row r="66" spans="1:1" ht="18">
      <c r="A66" s="19" t="s">
        <v>354</v>
      </c>
    </row>
  </sheetData>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306CD-0C90-4123-827A-3F17FD780C4A}">
  <sheetPr>
    <tabColor rgb="FFC55A11"/>
  </sheetPr>
  <dimension ref="A1"/>
  <sheetViews>
    <sheetView workbookViewId="0"/>
  </sheetViews>
  <sheetFormatPr defaultRowHeight="14.4"/>
  <sheetData>
    <row r="1" spans="1:1" ht="23.4">
      <c r="A1" s="156" t="s">
        <v>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93B23-84FD-49A8-85BB-DF5330A4D53F}">
  <sheetPr>
    <tabColor rgb="FFF4B183"/>
  </sheetPr>
  <dimension ref="B2:G29"/>
  <sheetViews>
    <sheetView workbookViewId="0">
      <selection activeCell="C22" sqref="C22"/>
    </sheetView>
  </sheetViews>
  <sheetFormatPr defaultRowHeight="14.4"/>
  <cols>
    <col min="1" max="1" width="3.6640625" customWidth="1"/>
    <col min="2" max="2" width="29.6640625" customWidth="1"/>
    <col min="3" max="3" width="16.6640625" customWidth="1"/>
  </cols>
  <sheetData>
    <row r="2" spans="2:7" ht="21">
      <c r="B2" s="329" t="s">
        <v>355</v>
      </c>
      <c r="C2" s="329" t="s">
        <v>355</v>
      </c>
      <c r="D2" s="329"/>
      <c r="E2" s="329"/>
      <c r="F2" s="329"/>
      <c r="G2" s="329"/>
    </row>
    <row r="3" spans="2:7">
      <c r="B3" s="308" t="s">
        <v>356</v>
      </c>
    </row>
    <row r="5" spans="2:7">
      <c r="B5" s="257" t="s">
        <v>357</v>
      </c>
    </row>
    <row r="6" spans="2:7">
      <c r="B6" s="238" t="s">
        <v>358</v>
      </c>
      <c r="C6" s="331">
        <v>5</v>
      </c>
    </row>
    <row r="7" spans="2:7">
      <c r="B7" s="238" t="s">
        <v>359</v>
      </c>
      <c r="C7" s="331">
        <v>50</v>
      </c>
    </row>
    <row r="8" spans="2:7">
      <c r="B8" s="238" t="s">
        <v>343</v>
      </c>
      <c r="C8" s="331">
        <v>5</v>
      </c>
    </row>
    <row r="9" spans="2:7">
      <c r="B9" s="238" t="s">
        <v>360</v>
      </c>
      <c r="C9" s="331">
        <v>5</v>
      </c>
    </row>
    <row r="10" spans="2:7">
      <c r="B10" s="238" t="s">
        <v>361</v>
      </c>
      <c r="C10" s="251">
        <f>SUM(C6:C9)</f>
      </c>
    </row>
    <row r="12" spans="2:7">
      <c r="B12" s="257" t="s">
        <v>362</v>
      </c>
    </row>
    <row r="13" spans="2:7">
      <c r="B13" s="238" t="s">
        <v>363</v>
      </c>
      <c r="C13" s="568">
        <f>'Format Engine'!H8</f>
      </c>
    </row>
    <row r="14" spans="2:7">
      <c r="B14" s="238" t="s">
        <v>364</v>
      </c>
      <c r="C14" s="568">
        <f>'Format Engine'!H9</f>
      </c>
    </row>
    <row r="15" spans="2:7">
      <c r="B15" s="238" t="s">
        <v>365</v>
      </c>
      <c r="C15" s="569">
        <f>'Format Engine'!H10</f>
      </c>
    </row>
    <row r="17" spans="2:3">
      <c r="B17" s="257" t="s">
        <v>366</v>
      </c>
    </row>
    <row r="18" spans="2:3">
      <c r="B18" s="238" t="s">
        <v>367</v>
      </c>
      <c r="C18" s="332">
        <v>600</v>
      </c>
    </row>
    <row r="19" spans="2:3">
      <c r="B19" s="238" t="s">
        <v>368</v>
      </c>
      <c r="C19" s="808">
        <v>0.35</v>
      </c>
    </row>
    <row r="21" spans="2:3">
      <c r="B21" s="25" t="s">
        <v>369</v>
      </c>
    </row>
    <row r="22" spans="2:3">
      <c r="B22" s="310" t="s">
        <v>370</v>
      </c>
      <c r="C22" s="335">
        <v>46430</v>
      </c>
    </row>
    <row r="23" spans="2:3">
      <c r="B23" s="310" t="s">
        <v>371</v>
      </c>
      <c r="C23" s="336" t="s">
        <v>372</v>
      </c>
    </row>
    <row r="25" spans="2:3">
      <c r="B25" s="25" t="s">
        <v>373</v>
      </c>
    </row>
    <row r="26" spans="2:3">
      <c r="B26" s="310" t="s">
        <v>374</v>
      </c>
      <c r="C26" s="338">
        <v>0.6041666666666666</v>
      </c>
    </row>
    <row r="27" spans="2:3">
      <c r="B27" s="310" t="s">
        <v>375</v>
      </c>
      <c r="C27" s="338">
        <v>0.3333333333333333</v>
      </c>
    </row>
    <row r="28" spans="2:3">
      <c r="B28" s="310" t="s">
        <v>376</v>
      </c>
      <c r="C28" s="338">
        <v>0.3541666666666667</v>
      </c>
    </row>
    <row r="29" spans="2:3">
      <c r="B29" s="310" t="s">
        <v>377</v>
      </c>
      <c r="C29" s="338">
        <v>0.3541666666666667</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3D59B-DB22-4277-BA8E-36354EA43526}">
  <sheetPr>
    <tabColor rgb="FFF4B183"/>
  </sheetPr>
  <dimension ref="A1:O91"/>
  <sheetViews>
    <sheetView workbookViewId="0">
      <pane ySplit="4" topLeftCell="A5" activePane="bottomLeft" state="frozen"/>
      <selection pane="bottomLeft" activeCell="C4" sqref="C4"/>
    </sheetView>
  </sheetViews>
  <sheetFormatPr defaultRowHeight="14.4"/>
  <cols>
    <col min="1" max="1" width="13" customWidth="1"/>
    <col min="2" max="2" width="20.33203125" customWidth="1"/>
    <col min="8" max="8" width="11.109375" customWidth="1"/>
    <col min="9" max="9" width="3" customWidth="1"/>
  </cols>
  <sheetData>
    <row r="1" spans="2:8" ht="18">
      <c r="B1" s="550" t="s">
        <v>378</v>
      </c>
    </row>
    <row r="2" spans="2:8">
      <c r="B2" s="233" t="s">
        <v>379</v>
      </c>
    </row>
    <row r="3" spans="2:8">
      <c r="B3" s="797" t="s">
        <v>380</v>
      </c>
    </row>
    <row r="4" spans="2:8">
      <c r="B4" s="537" t="s">
        <v>381</v>
      </c>
      <c r="C4" s="567">
        <f>'Control Panel'!$G$2</f>
      </c>
      <c r="D4" s="551" t="s">
        <v>382</v>
      </c>
    </row>
    <row r="6" spans="2:8">
      <c r="B6" s="556" t="s">
        <v>383</v>
      </c>
      <c r="C6" s="554" t="s">
        <v>384</v>
      </c>
      <c r="D6" s="554" t="s">
        <v>385</v>
      </c>
      <c r="E6" s="554" t="s">
        <v>386</v>
      </c>
      <c r="F6" s="555"/>
      <c r="G6" s="557" t="s">
        <v>387</v>
      </c>
      <c r="H6" s="558" t="s">
        <v>388</v>
      </c>
    </row>
    <row r="7" spans="2:8">
      <c r="B7" s="555" t="s">
        <v>389</v>
      </c>
      <c r="C7" s="559" t="s">
        <v>390</v>
      </c>
      <c r="D7" s="559" t="s">
        <v>87</v>
      </c>
      <c r="E7" s="559" t="s">
        <v>391</v>
      </c>
      <c r="F7" s="555"/>
      <c r="G7" s="559" t="s">
        <v>392</v>
      </c>
      <c r="H7" s="560">
        <f>$C$4</f>
      </c>
    </row>
    <row r="8" spans="2:8">
      <c r="B8" s="555" t="s">
        <v>393</v>
      </c>
      <c r="C8" s="559">
        <v>13</v>
      </c>
      <c r="D8" s="559">
        <v>12</v>
      </c>
      <c r="E8" s="559">
        <v>12</v>
      </c>
      <c r="F8" s="555"/>
      <c r="G8" s="555" t="s">
        <v>393</v>
      </c>
      <c r="H8" s="561">
        <f>INDEX($C$8:$E$8,MATCH($C$4,$C$7:$E$7,0))</f>
      </c>
    </row>
    <row r="9" spans="2:8">
      <c r="B9" s="555" t="s">
        <v>394</v>
      </c>
      <c r="C9" s="559">
        <v>8</v>
      </c>
      <c r="D9" s="559">
        <v>8</v>
      </c>
      <c r="E9" s="559">
        <v>6</v>
      </c>
      <c r="F9" s="555"/>
      <c r="G9" s="555" t="s">
        <v>394</v>
      </c>
      <c r="H9" s="561">
        <f>INDEX($C$9:$E$9,MATCH($C$4,$C$7:$E$7,0))</f>
      </c>
    </row>
    <row r="10" spans="2:8">
      <c r="B10" s="555" t="s">
        <v>395</v>
      </c>
      <c r="C10" s="559">
        <v>5</v>
      </c>
      <c r="D10" s="559">
        <v>4</v>
      </c>
      <c r="E10" s="559">
        <v>6</v>
      </c>
      <c r="F10" s="555"/>
      <c r="G10" s="555" t="s">
        <v>395</v>
      </c>
      <c r="H10" s="561">
        <f>INDEX($C$10:$E$10,MATCH($C$4,$C$7:$E$7,0))</f>
      </c>
    </row>
    <row r="11" spans="2:8">
      <c r="B11" s="555" t="s">
        <v>396</v>
      </c>
      <c r="C11" s="559">
        <v>2</v>
      </c>
      <c r="D11" s="559">
        <v>2</v>
      </c>
      <c r="E11" s="559">
        <v>2</v>
      </c>
      <c r="F11" s="555"/>
      <c r="G11" s="555" t="s">
        <v>396</v>
      </c>
      <c r="H11" s="561">
        <f>INDEX($C$11:$E$11,MATCH($C$4,$C$7:$E$7,0))</f>
      </c>
    </row>
    <row r="12" spans="2:8">
      <c r="B12" s="555" t="s">
        <v>397</v>
      </c>
      <c r="C12" s="559">
        <v>1</v>
      </c>
      <c r="D12" s="559">
        <v>1</v>
      </c>
      <c r="E12" s="559">
        <v>2</v>
      </c>
      <c r="F12" s="555"/>
      <c r="G12" s="555" t="s">
        <v>397</v>
      </c>
      <c r="H12" s="561">
        <f>INDEX($C$12:$E$12,MATCH($C$4,$C$7:$E$7,0))</f>
      </c>
    </row>
    <row r="13" spans="2:8">
      <c r="B13" s="555" t="s">
        <v>398</v>
      </c>
      <c r="C13" s="562">
        <f>COUNTIF($A$23:$A$200,C$7)</f>
      </c>
      <c r="D13" s="562">
        <f>COUNTIF($A$23:$A$200,D$7)</f>
      </c>
      <c r="E13" s="562">
        <f>COUNTIF($A$23:$A$200,E$7)</f>
      </c>
      <c r="F13" s="555"/>
      <c r="G13" s="555" t="s">
        <v>398</v>
      </c>
      <c r="H13" s="561">
        <f>INDEX($C$13:$E$13,MATCH($C$4,$C$7:$E$7,0))</f>
      </c>
    </row>
    <row r="14" spans="2:8">
      <c r="B14" s="555" t="s">
        <v>399</v>
      </c>
      <c r="C14" s="559">
        <v>1</v>
      </c>
      <c r="D14" s="559">
        <v>7</v>
      </c>
      <c r="E14" s="559">
        <v>6</v>
      </c>
      <c r="F14" s="555"/>
      <c r="G14" s="555" t="s">
        <v>399</v>
      </c>
      <c r="H14" s="561">
        <f>INDEX($C$14:$E$14,MATCH($C$4,$C$7:$E$7,0))</f>
      </c>
    </row>
    <row r="15" spans="2:8">
      <c r="B15" s="555" t="s">
        <v>400</v>
      </c>
      <c r="C15" s="559">
        <v>6</v>
      </c>
      <c r="D15" s="559">
        <v>11</v>
      </c>
      <c r="E15" s="559">
        <v>8</v>
      </c>
      <c r="F15" s="555"/>
      <c r="G15" s="555" t="s">
        <v>400</v>
      </c>
      <c r="H15" s="561">
        <f>INDEX($C$15:$E$15,MATCH($C$4,$C$7:$E$7,0))</f>
      </c>
    </row>
    <row r="16" spans="2:8">
      <c r="B16" s="555" t="s">
        <v>401</v>
      </c>
      <c r="C16" s="559">
        <v>13</v>
      </c>
      <c r="D16" s="559">
        <v>6</v>
      </c>
      <c r="E16" s="559">
        <v>4</v>
      </c>
      <c r="F16" s="555"/>
      <c r="G16" s="555" t="s">
        <v>401</v>
      </c>
      <c r="H16" s="561">
        <f>INDEX($C$16:$E$16,MATCH($C$4,$C$7:$E$7,0))</f>
      </c>
    </row>
    <row r="17" spans="1:15">
      <c r="B17" s="555" t="s">
        <v>402</v>
      </c>
      <c r="C17" s="559">
        <v>7</v>
      </c>
      <c r="D17" s="559">
        <v>0</v>
      </c>
      <c r="E17" s="559">
        <v>0</v>
      </c>
      <c r="F17" s="555"/>
      <c r="G17" s="555" t="s">
        <v>402</v>
      </c>
      <c r="H17" s="561">
        <f>INDEX($C$17:$E$17,MATCH($C$4,$C$7:$E$7,0))</f>
      </c>
    </row>
    <row r="18" spans="1:15">
      <c r="F18" s="194" t="s">
        <v>403</v>
      </c>
      <c r="H18" s="571">
        <f>H14</f>
      </c>
    </row>
    <row r="19" spans="1:15">
      <c r="F19" s="194" t="s">
        <v>404</v>
      </c>
      <c r="H19" s="571">
        <f>H14+H15</f>
      </c>
    </row>
    <row r="20" spans="1:15">
      <c r="F20" s="194" t="s">
        <v>405</v>
      </c>
      <c r="H20" s="571">
        <f>H14+H15+H16</f>
      </c>
    </row>
    <row r="21" spans="1:15">
      <c r="F21" s="572" t="s">
        <v>406</v>
      </c>
      <c r="H21" s="571">
        <f>H13</f>
      </c>
      <c r="J21" s="553" t="s">
        <v>407</v>
      </c>
    </row>
    <row r="22" spans="1:15">
      <c r="A22" s="554" t="s">
        <v>408</v>
      </c>
      <c r="B22" s="554" t="s">
        <v>409</v>
      </c>
      <c r="C22" s="554" t="s">
        <v>410</v>
      </c>
      <c r="D22" s="554" t="s">
        <v>411</v>
      </c>
      <c r="E22" s="554" t="s">
        <v>412</v>
      </c>
      <c r="F22" s="554" t="s">
        <v>413</v>
      </c>
      <c r="G22" s="554" t="s">
        <v>414</v>
      </c>
      <c r="H22" s="527">
        <f>COUNTIF(H14:H17,"&gt;0")</f>
      </c>
      <c r="J22" s="552" t="s">
        <v>409</v>
      </c>
      <c r="K22" s="552" t="s">
        <v>410</v>
      </c>
      <c r="L22" s="552" t="s">
        <v>411</v>
      </c>
      <c r="M22" s="552" t="s">
        <v>412</v>
      </c>
      <c r="N22" s="552" t="s">
        <v>415</v>
      </c>
      <c r="O22" s="552" t="s">
        <v>414</v>
      </c>
    </row>
    <row r="23" spans="1:15">
      <c r="A23" s="555" t="s">
        <v>390</v>
      </c>
      <c r="B23" s="555">
        <v>1</v>
      </c>
      <c r="C23" s="555" t="s">
        <v>416</v>
      </c>
      <c r="D23" s="555" t="s">
        <v>416</v>
      </c>
      <c r="E23" s="555" t="s">
        <v>417</v>
      </c>
      <c r="F23" s="555" t="s">
        <v>418</v>
      </c>
      <c r="G23" s="555"/>
      <c r="J23" s="20" cm="1">
        <f t="array" ref="J23:O46">_xlfn._xlws.FILTER(B23:G91,A23:A91=$C$4)</f>
      </c>
      <c r="K23"/>
      <c r="L23"/>
      <c r="M23"/>
      <c r="N23"/>
      <c r="O23"/>
    </row>
    <row r="24" spans="1:15">
      <c r="A24" s="555" t="s">
        <v>390</v>
      </c>
      <c r="B24" s="555">
        <v>2</v>
      </c>
      <c r="C24" s="555" t="s">
        <v>419</v>
      </c>
      <c r="D24" s="555" t="s">
        <v>420</v>
      </c>
      <c r="E24" s="555" t="s">
        <v>421</v>
      </c>
      <c r="F24" s="555" t="s">
        <v>422</v>
      </c>
      <c r="G24" s="555"/>
      <c r="J24"/>
      <c r="K24"/>
      <c r="L24"/>
      <c r="M24"/>
      <c r="N24"/>
      <c r="O24"/>
    </row>
    <row r="25" spans="1:15">
      <c r="A25" s="555" t="s">
        <v>390</v>
      </c>
      <c r="B25" s="555">
        <v>3</v>
      </c>
      <c r="C25" s="555" t="s">
        <v>419</v>
      </c>
      <c r="D25" s="555" t="s">
        <v>423</v>
      </c>
      <c r="E25" s="555" t="s">
        <v>424</v>
      </c>
      <c r="F25" s="555" t="s">
        <v>425</v>
      </c>
      <c r="G25" s="555"/>
      <c r="J25"/>
      <c r="K25"/>
      <c r="L25"/>
      <c r="M25"/>
      <c r="N25"/>
      <c r="O25"/>
    </row>
    <row r="26" spans="1:15">
      <c r="A26" s="555" t="s">
        <v>390</v>
      </c>
      <c r="B26" s="555">
        <v>4</v>
      </c>
      <c r="C26" s="555" t="s">
        <v>416</v>
      </c>
      <c r="D26" s="555" t="s">
        <v>416</v>
      </c>
      <c r="E26" s="555" t="s">
        <v>426</v>
      </c>
      <c r="F26" s="555" t="s">
        <v>427</v>
      </c>
      <c r="G26" s="555"/>
      <c r="J26"/>
      <c r="K26"/>
      <c r="L26"/>
      <c r="M26"/>
      <c r="N26"/>
      <c r="O26"/>
    </row>
    <row r="27" spans="1:15">
      <c r="A27" s="555" t="s">
        <v>390</v>
      </c>
      <c r="B27" s="555">
        <v>5</v>
      </c>
      <c r="C27" s="555" t="s">
        <v>419</v>
      </c>
      <c r="D27" s="555" t="s">
        <v>420</v>
      </c>
      <c r="E27" s="555" t="s">
        <v>428</v>
      </c>
      <c r="F27" s="555" t="s">
        <v>429</v>
      </c>
      <c r="G27" s="555"/>
      <c r="J27"/>
      <c r="K27"/>
      <c r="L27"/>
      <c r="M27"/>
      <c r="N27"/>
      <c r="O27"/>
    </row>
    <row r="28" spans="1:15">
      <c r="A28" s="555" t="s">
        <v>390</v>
      </c>
      <c r="B28" s="555">
        <v>6</v>
      </c>
      <c r="C28" s="555" t="s">
        <v>419</v>
      </c>
      <c r="D28" s="555" t="s">
        <v>423</v>
      </c>
      <c r="E28" s="555" t="s">
        <v>430</v>
      </c>
      <c r="F28" s="555" t="s">
        <v>431</v>
      </c>
      <c r="G28" s="555"/>
      <c r="J28"/>
      <c r="K28"/>
      <c r="L28"/>
      <c r="M28"/>
      <c r="N28"/>
      <c r="O28"/>
    </row>
    <row r="29" spans="1:15">
      <c r="A29" s="555" t="s">
        <v>390</v>
      </c>
      <c r="B29" s="555">
        <v>7</v>
      </c>
      <c r="C29" s="555" t="s">
        <v>416</v>
      </c>
      <c r="D29" s="555" t="s">
        <v>416</v>
      </c>
      <c r="E29" s="555" t="s">
        <v>417</v>
      </c>
      <c r="F29" s="555" t="s">
        <v>432</v>
      </c>
      <c r="G29" s="555"/>
      <c r="J29"/>
      <c r="K29"/>
      <c r="L29"/>
      <c r="M29"/>
      <c r="N29"/>
      <c r="O29"/>
    </row>
    <row r="30" spans="1:15">
      <c r="A30" s="555" t="s">
        <v>390</v>
      </c>
      <c r="B30" s="555">
        <v>8</v>
      </c>
      <c r="C30" s="555" t="s">
        <v>419</v>
      </c>
      <c r="D30" s="555" t="s">
        <v>420</v>
      </c>
      <c r="E30" s="555" t="s">
        <v>421</v>
      </c>
      <c r="F30" s="555" t="s">
        <v>428</v>
      </c>
      <c r="G30" s="555"/>
      <c r="J30"/>
      <c r="K30"/>
      <c r="L30"/>
      <c r="M30"/>
      <c r="N30"/>
      <c r="O30"/>
    </row>
    <row r="31" spans="1:15">
      <c r="A31" s="555" t="s">
        <v>390</v>
      </c>
      <c r="B31" s="555">
        <v>9</v>
      </c>
      <c r="C31" s="555" t="s">
        <v>416</v>
      </c>
      <c r="D31" s="555" t="s">
        <v>416</v>
      </c>
      <c r="E31" s="555" t="s">
        <v>418</v>
      </c>
      <c r="F31" s="555" t="s">
        <v>432</v>
      </c>
      <c r="G31" s="555"/>
      <c r="J31"/>
      <c r="K31"/>
      <c r="L31"/>
      <c r="M31"/>
      <c r="N31"/>
      <c r="O31"/>
    </row>
    <row r="32" spans="1:15">
      <c r="A32" s="555" t="s">
        <v>390</v>
      </c>
      <c r="B32" s="555">
        <v>10</v>
      </c>
      <c r="C32" s="555" t="s">
        <v>419</v>
      </c>
      <c r="D32" s="555" t="s">
        <v>423</v>
      </c>
      <c r="E32" s="555" t="s">
        <v>424</v>
      </c>
      <c r="F32" s="555" t="s">
        <v>430</v>
      </c>
      <c r="G32" s="555"/>
      <c r="J32"/>
      <c r="K32"/>
      <c r="L32"/>
      <c r="M32"/>
      <c r="N32"/>
      <c r="O32"/>
    </row>
    <row r="33" spans="1:15">
      <c r="A33" s="555" t="s">
        <v>390</v>
      </c>
      <c r="B33" s="555">
        <v>11</v>
      </c>
      <c r="C33" s="555" t="s">
        <v>416</v>
      </c>
      <c r="D33" s="555" t="s">
        <v>416</v>
      </c>
      <c r="E33" s="555" t="s">
        <v>417</v>
      </c>
      <c r="F33" s="555" t="s">
        <v>427</v>
      </c>
      <c r="G33" s="555"/>
      <c r="J33"/>
      <c r="K33"/>
      <c r="L33"/>
      <c r="M33"/>
      <c r="N33"/>
      <c r="O33"/>
    </row>
    <row r="34" spans="1:15">
      <c r="A34" s="555" t="s">
        <v>390</v>
      </c>
      <c r="B34" s="555">
        <v>12</v>
      </c>
      <c r="C34" s="555" t="s">
        <v>419</v>
      </c>
      <c r="D34" s="555" t="s">
        <v>420</v>
      </c>
      <c r="E34" s="555" t="s">
        <v>422</v>
      </c>
      <c r="F34" s="555" t="s">
        <v>429</v>
      </c>
      <c r="G34" s="555"/>
      <c r="J34"/>
      <c r="K34"/>
      <c r="L34"/>
      <c r="M34"/>
      <c r="N34"/>
      <c r="O34"/>
    </row>
    <row r="35" spans="1:15">
      <c r="A35" s="555" t="s">
        <v>390</v>
      </c>
      <c r="B35" s="555">
        <v>13</v>
      </c>
      <c r="C35" s="555" t="s">
        <v>416</v>
      </c>
      <c r="D35" s="555" t="s">
        <v>416</v>
      </c>
      <c r="E35" s="555" t="s">
        <v>426</v>
      </c>
      <c r="F35" s="555" t="s">
        <v>432</v>
      </c>
      <c r="G35" s="555"/>
      <c r="J35"/>
      <c r="K35"/>
      <c r="L35"/>
      <c r="M35"/>
      <c r="N35"/>
      <c r="O35"/>
    </row>
    <row r="36" spans="1:15">
      <c r="A36" s="555" t="s">
        <v>390</v>
      </c>
      <c r="B36" s="555">
        <v>14</v>
      </c>
      <c r="C36" s="555" t="s">
        <v>419</v>
      </c>
      <c r="D36" s="555" t="s">
        <v>423</v>
      </c>
      <c r="E36" s="555" t="s">
        <v>425</v>
      </c>
      <c r="F36" s="555" t="s">
        <v>431</v>
      </c>
      <c r="G36" s="555"/>
      <c r="J36"/>
      <c r="K36"/>
      <c r="L36"/>
      <c r="M36"/>
      <c r="N36"/>
      <c r="O36"/>
    </row>
    <row r="37" spans="1:15">
      <c r="A37" s="555" t="s">
        <v>390</v>
      </c>
      <c r="B37" s="555">
        <v>15</v>
      </c>
      <c r="C37" s="555" t="s">
        <v>419</v>
      </c>
      <c r="D37" s="555" t="s">
        <v>420</v>
      </c>
      <c r="E37" s="555" t="s">
        <v>421</v>
      </c>
      <c r="F37" s="555" t="s">
        <v>429</v>
      </c>
      <c r="G37" s="555"/>
      <c r="J37"/>
      <c r="K37"/>
      <c r="L37"/>
      <c r="M37"/>
      <c r="N37"/>
      <c r="O37"/>
    </row>
    <row r="38" spans="1:15">
      <c r="A38" s="555" t="s">
        <v>390</v>
      </c>
      <c r="B38" s="555">
        <v>16</v>
      </c>
      <c r="C38" s="555" t="s">
        <v>416</v>
      </c>
      <c r="D38" s="555" t="s">
        <v>416</v>
      </c>
      <c r="E38" s="555" t="s">
        <v>417</v>
      </c>
      <c r="F38" s="555" t="s">
        <v>426</v>
      </c>
      <c r="G38" s="555"/>
      <c r="J38"/>
      <c r="K38"/>
      <c r="L38"/>
      <c r="M38"/>
      <c r="N38"/>
      <c r="O38"/>
    </row>
    <row r="39" spans="1:15">
      <c r="A39" s="555" t="s">
        <v>390</v>
      </c>
      <c r="B39" s="555">
        <v>17</v>
      </c>
      <c r="C39" s="555" t="s">
        <v>416</v>
      </c>
      <c r="D39" s="555" t="s">
        <v>416</v>
      </c>
      <c r="E39" s="555" t="s">
        <v>418</v>
      </c>
      <c r="F39" s="555" t="s">
        <v>427</v>
      </c>
      <c r="G39" s="555"/>
      <c r="J39"/>
      <c r="K39"/>
      <c r="L39"/>
      <c r="M39"/>
      <c r="N39"/>
      <c r="O39"/>
    </row>
    <row r="40" spans="1:15">
      <c r="A40" s="555" t="s">
        <v>390</v>
      </c>
      <c r="B40" s="555">
        <v>18</v>
      </c>
      <c r="C40" s="555" t="s">
        <v>419</v>
      </c>
      <c r="D40" s="555" t="s">
        <v>423</v>
      </c>
      <c r="E40" s="555" t="s">
        <v>424</v>
      </c>
      <c r="F40" s="555" t="s">
        <v>431</v>
      </c>
      <c r="G40" s="555"/>
      <c r="J40"/>
      <c r="K40"/>
      <c r="L40"/>
      <c r="M40"/>
      <c r="N40"/>
      <c r="O40"/>
    </row>
    <row r="41" spans="1:15">
      <c r="A41" s="555" t="s">
        <v>390</v>
      </c>
      <c r="B41" s="555">
        <v>19</v>
      </c>
      <c r="C41" s="555" t="s">
        <v>419</v>
      </c>
      <c r="D41" s="555" t="s">
        <v>420</v>
      </c>
      <c r="E41" s="555" t="s">
        <v>422</v>
      </c>
      <c r="F41" s="555" t="s">
        <v>428</v>
      </c>
      <c r="G41" s="555"/>
      <c r="J41"/>
      <c r="K41"/>
      <c r="L41"/>
      <c r="M41"/>
      <c r="N41"/>
      <c r="O41"/>
    </row>
    <row r="42" spans="1:15">
      <c r="A42" s="555" t="s">
        <v>390</v>
      </c>
      <c r="B42" s="555">
        <v>20</v>
      </c>
      <c r="C42" s="555" t="s">
        <v>419</v>
      </c>
      <c r="D42" s="555" t="s">
        <v>423</v>
      </c>
      <c r="E42" s="555" t="s">
        <v>425</v>
      </c>
      <c r="F42" s="555" t="s">
        <v>430</v>
      </c>
      <c r="G42" s="555"/>
      <c r="J42"/>
      <c r="K42"/>
      <c r="L42"/>
      <c r="M42"/>
      <c r="N42"/>
      <c r="O42"/>
    </row>
    <row r="43" spans="1:15">
      <c r="A43" s="555" t="s">
        <v>390</v>
      </c>
      <c r="B43" s="555">
        <v>21</v>
      </c>
      <c r="C43" s="555" t="s">
        <v>416</v>
      </c>
      <c r="D43" s="555" t="s">
        <v>416</v>
      </c>
      <c r="E43" s="555" t="s">
        <v>418</v>
      </c>
      <c r="F43" s="555" t="s">
        <v>426</v>
      </c>
      <c r="G43" s="555"/>
      <c r="J43"/>
      <c r="K43"/>
      <c r="L43"/>
      <c r="M43"/>
      <c r="N43"/>
      <c r="O43"/>
    </row>
    <row r="44" spans="1:15">
      <c r="A44" s="555" t="s">
        <v>390</v>
      </c>
      <c r="B44" s="555">
        <v>22</v>
      </c>
      <c r="C44" s="555" t="s">
        <v>416</v>
      </c>
      <c r="D44" s="555" t="s">
        <v>416</v>
      </c>
      <c r="E44" s="555" t="s">
        <v>427</v>
      </c>
      <c r="F44" s="555" t="s">
        <v>432</v>
      </c>
      <c r="G44" s="555"/>
      <c r="J44"/>
      <c r="K44"/>
      <c r="L44"/>
      <c r="M44"/>
      <c r="N44"/>
      <c r="O44"/>
    </row>
    <row r="45" spans="1:15">
      <c r="A45" s="555" t="s">
        <v>390</v>
      </c>
      <c r="B45" s="555">
        <v>23</v>
      </c>
      <c r="C45" s="555" t="s">
        <v>419</v>
      </c>
      <c r="D45" s="555" t="s">
        <v>433</v>
      </c>
      <c r="E45" s="555" t="s">
        <v>429</v>
      </c>
      <c r="F45" s="555" t="s">
        <v>431</v>
      </c>
      <c r="G45" s="555">
        <v>7</v>
      </c>
      <c r="J45"/>
      <c r="K45"/>
      <c r="L45"/>
      <c r="M45"/>
      <c r="N45"/>
      <c r="O45"/>
    </row>
    <row r="46" spans="1:15">
      <c r="A46" s="555" t="s">
        <v>390</v>
      </c>
      <c r="B46" s="555">
        <v>24</v>
      </c>
      <c r="C46" s="555" t="s">
        <v>419</v>
      </c>
      <c r="D46" s="555" t="s">
        <v>433</v>
      </c>
      <c r="E46" s="555" t="s">
        <v>428</v>
      </c>
      <c r="F46" s="555" t="s">
        <v>430</v>
      </c>
      <c r="G46" s="555">
        <v>5</v>
      </c>
      <c r="J46"/>
      <c r="K46"/>
      <c r="L46"/>
      <c r="M46"/>
      <c r="N46"/>
      <c r="O46"/>
    </row>
    <row r="47" spans="1:15">
      <c r="A47" s="555" t="s">
        <v>390</v>
      </c>
      <c r="B47" s="555">
        <v>25</v>
      </c>
      <c r="C47" s="555" t="s">
        <v>419</v>
      </c>
      <c r="D47" s="555" t="s">
        <v>433</v>
      </c>
      <c r="E47" s="555" t="s">
        <v>422</v>
      </c>
      <c r="F47" s="555" t="s">
        <v>425</v>
      </c>
      <c r="G47" s="555">
        <v>3</v>
      </c>
    </row>
    <row r="48" spans="1:15">
      <c r="A48" s="555" t="s">
        <v>390</v>
      </c>
      <c r="B48" s="555">
        <v>26</v>
      </c>
      <c r="C48" s="555" t="s">
        <v>416</v>
      </c>
      <c r="D48" s="555" t="s">
        <v>433</v>
      </c>
      <c r="E48" s="555" t="s">
        <v>417</v>
      </c>
      <c r="F48" s="555" t="s">
        <v>418</v>
      </c>
      <c r="G48" s="555">
        <v>1</v>
      </c>
    </row>
    <row r="49" spans="1:7">
      <c r="A49" s="555" t="s">
        <v>390</v>
      </c>
      <c r="B49" s="555">
        <v>27</v>
      </c>
      <c r="C49" s="555" t="s">
        <v>419</v>
      </c>
      <c r="D49" s="555" t="s">
        <v>433</v>
      </c>
      <c r="E49" s="555" t="s">
        <v>421</v>
      </c>
      <c r="F49" s="555" t="s">
        <v>424</v>
      </c>
      <c r="G49" s="555">
        <v>1</v>
      </c>
    </row>
    <row r="50" spans="1:7">
      <c r="A50" s="555" t="s">
        <v>87</v>
      </c>
      <c r="B50" s="555">
        <v>1</v>
      </c>
      <c r="C50" s="555" t="s">
        <v>416</v>
      </c>
      <c r="D50" s="555" t="s">
        <v>416</v>
      </c>
      <c r="E50" s="555" t="s">
        <v>417</v>
      </c>
      <c r="F50" s="555" t="s">
        <v>418</v>
      </c>
      <c r="G50" s="555"/>
    </row>
    <row r="51" spans="1:7">
      <c r="A51" s="555" t="s">
        <v>87</v>
      </c>
      <c r="B51" s="555">
        <v>2</v>
      </c>
      <c r="C51" s="555" t="s">
        <v>419</v>
      </c>
      <c r="D51" s="555" t="s">
        <v>420</v>
      </c>
      <c r="E51" s="555" t="s">
        <v>421</v>
      </c>
      <c r="F51" s="555" t="s">
        <v>422</v>
      </c>
      <c r="G51" s="555"/>
    </row>
    <row r="52" spans="1:7">
      <c r="A52" s="555" t="s">
        <v>87</v>
      </c>
      <c r="B52" s="555">
        <v>3</v>
      </c>
      <c r="C52" s="555" t="s">
        <v>419</v>
      </c>
      <c r="D52" s="555" t="s">
        <v>423</v>
      </c>
      <c r="E52" s="555" t="s">
        <v>424</v>
      </c>
      <c r="F52" s="555" t="s">
        <v>425</v>
      </c>
      <c r="G52" s="555"/>
    </row>
    <row r="53" spans="1:7">
      <c r="A53" s="555" t="s">
        <v>87</v>
      </c>
      <c r="B53" s="555">
        <v>4</v>
      </c>
      <c r="C53" s="555" t="s">
        <v>416</v>
      </c>
      <c r="D53" s="555" t="s">
        <v>416</v>
      </c>
      <c r="E53" s="555" t="s">
        <v>426</v>
      </c>
      <c r="F53" s="555" t="s">
        <v>427</v>
      </c>
      <c r="G53" s="555"/>
    </row>
    <row r="54" spans="1:7">
      <c r="A54" s="555" t="s">
        <v>87</v>
      </c>
      <c r="B54" s="555">
        <v>5</v>
      </c>
      <c r="C54" s="555" t="s">
        <v>419</v>
      </c>
      <c r="D54" s="555" t="s">
        <v>420</v>
      </c>
      <c r="E54" s="555" t="s">
        <v>428</v>
      </c>
      <c r="F54" s="555" t="s">
        <v>429</v>
      </c>
      <c r="G54" s="555"/>
    </row>
    <row r="55" spans="1:7">
      <c r="A55" s="555" t="s">
        <v>87</v>
      </c>
      <c r="B55" s="555">
        <v>6</v>
      </c>
      <c r="C55" s="555" t="s">
        <v>419</v>
      </c>
      <c r="D55" s="555" t="s">
        <v>423</v>
      </c>
      <c r="E55" s="555" t="s">
        <v>430</v>
      </c>
      <c r="F55" s="555" t="s">
        <v>431</v>
      </c>
      <c r="G55" s="555"/>
    </row>
    <row r="56" spans="1:7">
      <c r="A56" s="555" t="s">
        <v>87</v>
      </c>
      <c r="B56" s="555">
        <v>7</v>
      </c>
      <c r="C56" s="555" t="s">
        <v>416</v>
      </c>
      <c r="D56" s="555" t="s">
        <v>416</v>
      </c>
      <c r="E56" s="555" t="s">
        <v>417</v>
      </c>
      <c r="F56" s="555" t="s">
        <v>426</v>
      </c>
      <c r="G56" s="555"/>
    </row>
    <row r="57" spans="1:7">
      <c r="A57" s="555" t="s">
        <v>87</v>
      </c>
      <c r="B57" s="555">
        <v>8</v>
      </c>
      <c r="C57" s="555" t="s">
        <v>419</v>
      </c>
      <c r="D57" s="555" t="s">
        <v>420</v>
      </c>
      <c r="E57" s="555" t="s">
        <v>421</v>
      </c>
      <c r="F57" s="555" t="s">
        <v>428</v>
      </c>
      <c r="G57" s="555"/>
    </row>
    <row r="58" spans="1:7">
      <c r="A58" s="555" t="s">
        <v>87</v>
      </c>
      <c r="B58" s="555">
        <v>9</v>
      </c>
      <c r="C58" s="555" t="s">
        <v>416</v>
      </c>
      <c r="D58" s="555" t="s">
        <v>416</v>
      </c>
      <c r="E58" s="555" t="s">
        <v>418</v>
      </c>
      <c r="F58" s="555" t="s">
        <v>427</v>
      </c>
      <c r="G58" s="555"/>
    </row>
    <row r="59" spans="1:7">
      <c r="A59" s="555" t="s">
        <v>87</v>
      </c>
      <c r="B59" s="555">
        <v>10</v>
      </c>
      <c r="C59" s="555" t="s">
        <v>419</v>
      </c>
      <c r="D59" s="555" t="s">
        <v>423</v>
      </c>
      <c r="E59" s="555" t="s">
        <v>424</v>
      </c>
      <c r="F59" s="555" t="s">
        <v>430</v>
      </c>
      <c r="G59" s="555"/>
    </row>
    <row r="60" spans="1:7">
      <c r="A60" s="555" t="s">
        <v>87</v>
      </c>
      <c r="B60" s="555">
        <v>11</v>
      </c>
      <c r="C60" s="555" t="s">
        <v>416</v>
      </c>
      <c r="D60" s="555" t="s">
        <v>416</v>
      </c>
      <c r="E60" s="555" t="s">
        <v>417</v>
      </c>
      <c r="F60" s="555" t="s">
        <v>427</v>
      </c>
      <c r="G60" s="555"/>
    </row>
    <row r="61" spans="1:7">
      <c r="A61" s="555" t="s">
        <v>87</v>
      </c>
      <c r="B61" s="555">
        <v>12</v>
      </c>
      <c r="C61" s="555" t="s">
        <v>419</v>
      </c>
      <c r="D61" s="555" t="s">
        <v>420</v>
      </c>
      <c r="E61" s="555" t="s">
        <v>422</v>
      </c>
      <c r="F61" s="555" t="s">
        <v>429</v>
      </c>
      <c r="G61" s="555"/>
    </row>
    <row r="62" spans="1:7">
      <c r="A62" s="555" t="s">
        <v>87</v>
      </c>
      <c r="B62" s="555">
        <v>13</v>
      </c>
      <c r="C62" s="555" t="s">
        <v>416</v>
      </c>
      <c r="D62" s="555" t="s">
        <v>416</v>
      </c>
      <c r="E62" s="555" t="s">
        <v>418</v>
      </c>
      <c r="F62" s="555" t="s">
        <v>426</v>
      </c>
      <c r="G62" s="555"/>
    </row>
    <row r="63" spans="1:7">
      <c r="A63" s="555" t="s">
        <v>87</v>
      </c>
      <c r="B63" s="555">
        <v>14</v>
      </c>
      <c r="C63" s="555" t="s">
        <v>419</v>
      </c>
      <c r="D63" s="555" t="s">
        <v>423</v>
      </c>
      <c r="E63" s="555" t="s">
        <v>425</v>
      </c>
      <c r="F63" s="555" t="s">
        <v>431</v>
      </c>
      <c r="G63" s="555"/>
    </row>
    <row r="64" spans="1:7">
      <c r="A64" s="555" t="s">
        <v>87</v>
      </c>
      <c r="B64" s="555">
        <v>15</v>
      </c>
      <c r="C64" s="555" t="s">
        <v>419</v>
      </c>
      <c r="D64" s="555" t="s">
        <v>420</v>
      </c>
      <c r="E64" s="555" t="s">
        <v>421</v>
      </c>
      <c r="F64" s="555" t="s">
        <v>429</v>
      </c>
      <c r="G64" s="555"/>
    </row>
    <row r="65" spans="1:7">
      <c r="A65" s="555" t="s">
        <v>87</v>
      </c>
      <c r="B65" s="555">
        <v>16</v>
      </c>
      <c r="C65" s="555" t="s">
        <v>419</v>
      </c>
      <c r="D65" s="555" t="s">
        <v>423</v>
      </c>
      <c r="E65" s="555" t="s">
        <v>424</v>
      </c>
      <c r="F65" s="555" t="s">
        <v>431</v>
      </c>
      <c r="G65" s="555"/>
    </row>
    <row r="66" spans="1:7">
      <c r="A66" s="555" t="s">
        <v>87</v>
      </c>
      <c r="B66" s="555">
        <v>17</v>
      </c>
      <c r="C66" s="555" t="s">
        <v>419</v>
      </c>
      <c r="D66" s="555" t="s">
        <v>420</v>
      </c>
      <c r="E66" s="555" t="s">
        <v>422</v>
      </c>
      <c r="F66" s="555" t="s">
        <v>428</v>
      </c>
      <c r="G66" s="555"/>
    </row>
    <row r="67" spans="1:7">
      <c r="A67" s="555" t="s">
        <v>87</v>
      </c>
      <c r="B67" s="555">
        <v>18</v>
      </c>
      <c r="C67" s="555" t="s">
        <v>419</v>
      </c>
      <c r="D67" s="555" t="s">
        <v>423</v>
      </c>
      <c r="E67" s="555" t="s">
        <v>425</v>
      </c>
      <c r="F67" s="555" t="s">
        <v>430</v>
      </c>
      <c r="G67" s="555"/>
    </row>
    <row r="68" spans="1:7">
      <c r="A68" s="555" t="s">
        <v>87</v>
      </c>
      <c r="B68" s="555">
        <v>19</v>
      </c>
      <c r="C68" s="555" t="s">
        <v>419</v>
      </c>
      <c r="D68" s="555" t="s">
        <v>433</v>
      </c>
      <c r="E68" s="555" t="s">
        <v>429</v>
      </c>
      <c r="F68" s="555" t="s">
        <v>431</v>
      </c>
      <c r="G68" s="555">
        <v>7</v>
      </c>
    </row>
    <row r="69" spans="1:7">
      <c r="A69" s="555" t="s">
        <v>87</v>
      </c>
      <c r="B69" s="555">
        <v>20</v>
      </c>
      <c r="C69" s="555" t="s">
        <v>419</v>
      </c>
      <c r="D69" s="555" t="s">
        <v>433</v>
      </c>
      <c r="E69" s="555" t="s">
        <v>428</v>
      </c>
      <c r="F69" s="555" t="s">
        <v>430</v>
      </c>
      <c r="G69" s="555">
        <v>5</v>
      </c>
    </row>
    <row r="70" spans="1:7">
      <c r="A70" s="555" t="s">
        <v>87</v>
      </c>
      <c r="B70" s="555">
        <v>21</v>
      </c>
      <c r="C70" s="555" t="s">
        <v>416</v>
      </c>
      <c r="D70" s="555" t="s">
        <v>433</v>
      </c>
      <c r="E70" s="555" t="s">
        <v>426</v>
      </c>
      <c r="F70" s="555" t="s">
        <v>427</v>
      </c>
      <c r="G70" s="555">
        <v>3</v>
      </c>
    </row>
    <row r="71" spans="1:7">
      <c r="A71" s="555" t="s">
        <v>87</v>
      </c>
      <c r="B71" s="555">
        <v>22</v>
      </c>
      <c r="C71" s="555" t="s">
        <v>419</v>
      </c>
      <c r="D71" s="555" t="s">
        <v>433</v>
      </c>
      <c r="E71" s="555" t="s">
        <v>422</v>
      </c>
      <c r="F71" s="555" t="s">
        <v>425</v>
      </c>
      <c r="G71" s="555">
        <v>3</v>
      </c>
    </row>
    <row r="72" spans="1:7">
      <c r="A72" s="555" t="s">
        <v>87</v>
      </c>
      <c r="B72" s="555">
        <v>23</v>
      </c>
      <c r="C72" s="555" t="s">
        <v>416</v>
      </c>
      <c r="D72" s="555" t="s">
        <v>433</v>
      </c>
      <c r="E72" s="555" t="s">
        <v>417</v>
      </c>
      <c r="F72" s="555" t="s">
        <v>418</v>
      </c>
      <c r="G72" s="555">
        <v>1</v>
      </c>
    </row>
    <row r="73" spans="1:7">
      <c r="A73" s="555" t="s">
        <v>87</v>
      </c>
      <c r="B73" s="555">
        <v>24</v>
      </c>
      <c r="C73" s="555" t="s">
        <v>419</v>
      </c>
      <c r="D73" s="555" t="s">
        <v>433</v>
      </c>
      <c r="E73" s="555" t="s">
        <v>421</v>
      </c>
      <c r="F73" s="555" t="s">
        <v>424</v>
      </c>
      <c r="G73" s="555">
        <v>1</v>
      </c>
    </row>
    <row r="74" spans="1:7">
      <c r="A74" s="555" t="s">
        <v>391</v>
      </c>
      <c r="B74" s="555">
        <v>1</v>
      </c>
      <c r="C74" s="555" t="s">
        <v>419</v>
      </c>
      <c r="D74" s="555" t="s">
        <v>420</v>
      </c>
      <c r="E74" s="555" t="s">
        <v>421</v>
      </c>
      <c r="F74" s="555" t="s">
        <v>422</v>
      </c>
      <c r="G74" s="555"/>
    </row>
    <row r="75" spans="1:7">
      <c r="A75" s="555" t="s">
        <v>391</v>
      </c>
      <c r="B75" s="555">
        <v>2</v>
      </c>
      <c r="C75" s="555" t="s">
        <v>416</v>
      </c>
      <c r="D75" s="555" t="s">
        <v>434</v>
      </c>
      <c r="E75" s="555" t="s">
        <v>435</v>
      </c>
      <c r="F75" s="555" t="s">
        <v>436</v>
      </c>
      <c r="G75" s="555"/>
    </row>
    <row r="76" spans="1:7">
      <c r="A76" s="555" t="s">
        <v>391</v>
      </c>
      <c r="B76" s="555">
        <v>3</v>
      </c>
      <c r="C76" s="555" t="s">
        <v>419</v>
      </c>
      <c r="D76" s="555" t="s">
        <v>423</v>
      </c>
      <c r="E76" s="555" t="s">
        <v>424</v>
      </c>
      <c r="F76" s="555" t="s">
        <v>425</v>
      </c>
      <c r="G76" s="555"/>
    </row>
    <row r="77" spans="1:7">
      <c r="A77" s="555" t="s">
        <v>391</v>
      </c>
      <c r="B77" s="555">
        <v>4</v>
      </c>
      <c r="C77" s="555" t="s">
        <v>416</v>
      </c>
      <c r="D77" s="555" t="s">
        <v>437</v>
      </c>
      <c r="E77" s="555" t="s">
        <v>438</v>
      </c>
      <c r="F77" s="555" t="s">
        <v>439</v>
      </c>
      <c r="G77" s="555"/>
    </row>
    <row r="78" spans="1:7">
      <c r="A78" s="555" t="s">
        <v>391</v>
      </c>
      <c r="B78" s="555">
        <v>5</v>
      </c>
      <c r="C78" s="555" t="s">
        <v>419</v>
      </c>
      <c r="D78" s="555" t="s">
        <v>420</v>
      </c>
      <c r="E78" s="555" t="s">
        <v>421</v>
      </c>
      <c r="F78" s="555" t="s">
        <v>428</v>
      </c>
      <c r="G78" s="555"/>
    </row>
    <row r="79" spans="1:7">
      <c r="A79" s="555" t="s">
        <v>391</v>
      </c>
      <c r="B79" s="555">
        <v>6</v>
      </c>
      <c r="C79" s="555" t="s">
        <v>416</v>
      </c>
      <c r="D79" s="555" t="s">
        <v>434</v>
      </c>
      <c r="E79" s="555" t="s">
        <v>435</v>
      </c>
      <c r="F79" s="555" t="s">
        <v>440</v>
      </c>
      <c r="G79" s="555"/>
    </row>
    <row r="80" spans="1:7">
      <c r="A80" s="555" t="s">
        <v>391</v>
      </c>
      <c r="B80" s="555">
        <v>7</v>
      </c>
      <c r="C80" s="555" t="s">
        <v>419</v>
      </c>
      <c r="D80" s="555" t="s">
        <v>423</v>
      </c>
      <c r="E80" s="555" t="s">
        <v>424</v>
      </c>
      <c r="F80" s="555" t="s">
        <v>430</v>
      </c>
      <c r="G80" s="555"/>
    </row>
    <row r="81" spans="1:7">
      <c r="A81" s="555" t="s">
        <v>391</v>
      </c>
      <c r="B81" s="555">
        <v>8</v>
      </c>
      <c r="C81" s="555" t="s">
        <v>416</v>
      </c>
      <c r="D81" s="555" t="s">
        <v>437</v>
      </c>
      <c r="E81" s="555" t="s">
        <v>438</v>
      </c>
      <c r="F81" s="555" t="s">
        <v>441</v>
      </c>
      <c r="G81" s="555"/>
    </row>
    <row r="82" spans="1:7">
      <c r="A82" s="555" t="s">
        <v>391</v>
      </c>
      <c r="B82" s="555">
        <v>9</v>
      </c>
      <c r="C82" s="555" t="s">
        <v>419</v>
      </c>
      <c r="D82" s="555" t="s">
        <v>420</v>
      </c>
      <c r="E82" s="555" t="s">
        <v>422</v>
      </c>
      <c r="F82" s="555" t="s">
        <v>428</v>
      </c>
      <c r="G82" s="555"/>
    </row>
    <row r="83" spans="1:7">
      <c r="A83" s="555" t="s">
        <v>391</v>
      </c>
      <c r="B83" s="555">
        <v>10</v>
      </c>
      <c r="C83" s="555" t="s">
        <v>416</v>
      </c>
      <c r="D83" s="555" t="s">
        <v>434</v>
      </c>
      <c r="E83" s="555" t="s">
        <v>436</v>
      </c>
      <c r="F83" s="555" t="s">
        <v>440</v>
      </c>
      <c r="G83" s="555"/>
    </row>
    <row r="84" spans="1:7">
      <c r="A84" s="555" t="s">
        <v>391</v>
      </c>
      <c r="B84" s="555">
        <v>11</v>
      </c>
      <c r="C84" s="555" t="s">
        <v>419</v>
      </c>
      <c r="D84" s="555" t="s">
        <v>423</v>
      </c>
      <c r="E84" s="555" t="s">
        <v>425</v>
      </c>
      <c r="F84" s="555" t="s">
        <v>430</v>
      </c>
      <c r="G84" s="555"/>
    </row>
    <row r="85" spans="1:7">
      <c r="A85" s="555" t="s">
        <v>391</v>
      </c>
      <c r="B85" s="555">
        <v>12</v>
      </c>
      <c r="C85" s="555" t="s">
        <v>416</v>
      </c>
      <c r="D85" s="555" t="s">
        <v>437</v>
      </c>
      <c r="E85" s="555" t="s">
        <v>439</v>
      </c>
      <c r="F85" s="555" t="s">
        <v>441</v>
      </c>
      <c r="G85" s="555"/>
    </row>
    <row r="86" spans="1:7">
      <c r="A86" s="555" t="s">
        <v>391</v>
      </c>
      <c r="B86" s="555">
        <v>13</v>
      </c>
      <c r="C86" s="555" t="s">
        <v>419</v>
      </c>
      <c r="D86" s="555" t="s">
        <v>433</v>
      </c>
      <c r="E86" s="555" t="s">
        <v>428</v>
      </c>
      <c r="F86" s="555" t="s">
        <v>430</v>
      </c>
      <c r="G86" s="555">
        <v>5</v>
      </c>
    </row>
    <row r="87" spans="1:7">
      <c r="A87" s="555" t="s">
        <v>391</v>
      </c>
      <c r="B87" s="555">
        <v>14</v>
      </c>
      <c r="C87" s="555" t="s">
        <v>416</v>
      </c>
      <c r="D87" s="555" t="s">
        <v>433</v>
      </c>
      <c r="E87" s="555" t="s">
        <v>440</v>
      </c>
      <c r="F87" s="555" t="s">
        <v>441</v>
      </c>
      <c r="G87" s="555">
        <v>5</v>
      </c>
    </row>
    <row r="88" spans="1:7">
      <c r="A88" s="555" t="s">
        <v>391</v>
      </c>
      <c r="B88" s="555">
        <v>15</v>
      </c>
      <c r="C88" s="555" t="s">
        <v>419</v>
      </c>
      <c r="D88" s="555" t="s">
        <v>433</v>
      </c>
      <c r="E88" s="555" t="s">
        <v>422</v>
      </c>
      <c r="F88" s="555" t="s">
        <v>425</v>
      </c>
      <c r="G88" s="555">
        <v>3</v>
      </c>
    </row>
    <row r="89" spans="1:7">
      <c r="A89" s="555" t="s">
        <v>391</v>
      </c>
      <c r="B89" s="555">
        <v>16</v>
      </c>
      <c r="C89" s="555" t="s">
        <v>416</v>
      </c>
      <c r="D89" s="555" t="s">
        <v>433</v>
      </c>
      <c r="E89" s="555" t="s">
        <v>436</v>
      </c>
      <c r="F89" s="555" t="s">
        <v>439</v>
      </c>
      <c r="G89" s="555">
        <v>3</v>
      </c>
    </row>
    <row r="90" spans="1:7">
      <c r="A90" s="555" t="s">
        <v>391</v>
      </c>
      <c r="B90" s="555">
        <v>17</v>
      </c>
      <c r="C90" s="555" t="s">
        <v>419</v>
      </c>
      <c r="D90" s="555" t="s">
        <v>433</v>
      </c>
      <c r="E90" s="555" t="s">
        <v>421</v>
      </c>
      <c r="F90" s="555" t="s">
        <v>424</v>
      </c>
      <c r="G90" s="555">
        <v>1</v>
      </c>
    </row>
    <row r="91" spans="1:7">
      <c r="A91" s="555" t="s">
        <v>391</v>
      </c>
      <c r="B91" s="555">
        <v>18</v>
      </c>
      <c r="C91" s="555" t="s">
        <v>416</v>
      </c>
      <c r="D91" s="555" t="s">
        <v>433</v>
      </c>
      <c r="E91" s="555" t="s">
        <v>435</v>
      </c>
      <c r="F91" s="555" t="s">
        <v>438</v>
      </c>
      <c r="G91" s="555">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D6F6E-75B5-4699-A3C5-438E93EB9E6A}">
  <sheetPr>
    <tabColor rgb="FFF4B183"/>
  </sheetPr>
  <dimension ref="A1:K16"/>
  <sheetViews>
    <sheetView workbookViewId="0">
      <selection activeCell="K4" sqref="K4:K16"/>
    </sheetView>
  </sheetViews>
  <sheetFormatPr defaultRowHeight="14.4"/>
  <cols>
    <col min="2" max="2" width="11.5546875" customWidth="1"/>
    <col min="10" max="10" width="11.6640625" bestFit="1" customWidth="1"/>
  </cols>
  <sheetData>
    <row r="1" spans="1:11" ht="18">
      <c r="B1" s="570" t="s">
        <v>442</v>
      </c>
      <c r="C1" s="570"/>
      <c r="D1" s="570"/>
      <c r="E1" s="570"/>
      <c r="F1" s="570"/>
      <c r="G1" s="570"/>
      <c r="H1" s="570"/>
      <c r="I1" s="570"/>
      <c r="J1" s="570"/>
      <c r="K1" s="570"/>
    </row>
    <row r="2" spans="1:11">
      <c r="B2" s="233" t="s">
        <v>443</v>
      </c>
    </row>
    <row r="3" spans="1:11">
      <c r="A3" s="158" t="s">
        <v>444</v>
      </c>
      <c r="B3" s="158" t="s">
        <v>445</v>
      </c>
      <c r="C3" s="158" t="s">
        <v>446</v>
      </c>
      <c r="D3" s="158" t="s">
        <v>447</v>
      </c>
      <c r="E3" s="158" t="s">
        <v>448</v>
      </c>
      <c r="F3" s="158" t="s">
        <v>449</v>
      </c>
      <c r="G3" s="158" t="s">
        <v>450</v>
      </c>
      <c r="H3" s="158" t="s">
        <v>451</v>
      </c>
      <c r="I3" s="158" t="s">
        <v>452</v>
      </c>
      <c r="J3" s="158" t="s">
        <v>453</v>
      </c>
      <c r="K3" s="158" t="s">
        <v>454</v>
      </c>
    </row>
    <row r="4" spans="1:11">
      <c r="A4" s="322">
        <f>'Teams Master'!C2</f>
      </c>
      <c r="B4" s="447">
        <f>'Teams Master'!E2</f>
      </c>
      <c r="C4" s="571">
        <f>IF(B4="","",LEFT(B4,LEN(B4)-1))</f>
      </c>
      <c r="D4" s="447">
        <f>SUMIFS('Games Schedule'!$U$5:$U$31,'Games Schedule'!$L$5:$L$31,$B4,'Games Schedule'!$J$5:$J$31,"&lt;&gt;P")+SUMIFS('Games Schedule'!$V$5:$V$31,'Games Schedule'!$M$5:$M$31,$B4,'Games Schedule'!$J$5:$J$31,"&lt;&gt;P")</f>
      </c>
      <c r="E4" s="447">
        <f>SUMIFS('Games Schedule'!$S$5:$S$31,'Games Schedule'!$L$5:$L$31,$B4,'Games Schedule'!$J$5:$J$31,"&lt;&gt;P")+SUMIFS('Games Schedule'!$T$5:$T$31,'Games Schedule'!$M$5:$M$31,$B4,'Games Schedule'!$J$5:$J$31,"&lt;&gt;P")</f>
      </c>
      <c r="F4" s="447">
        <f>SUMIFS('Games Schedule'!$T$5:$T$31,'Games Schedule'!$L$5:$L$31,$B4,'Games Schedule'!$J$5:$J$31,"&lt;&gt;P")+SUMIFS('Games Schedule'!$S$5:$S$31,'Games Schedule'!$M$5:$M$31,$B4,'Games Schedule'!$J$5:$J$31,"&lt;&gt;P")</f>
      </c>
      <c r="G4" s="571">
        <f>E4-F4</f>
      </c>
      <c r="H4" s="571">
        <f>D4*1000+G4</f>
      </c>
      <c r="I4" s="571" cm="1">
        <f t="array" ref="I4">IF($C4="","",IF($K4=0,"",SUMPRODUCT(($C$4:$C$16=$C4)*($K$4:$K$16=1)*($H$4:$H$16&gt;$H4))+SUMPRODUCT(($C$4:$C$16=$C4)*($K$4:$K$16=1)*($H$4:$H$16=$H4)*(ROW($H$4:$H$16)&lt;ROW($H4)))+1))</f>
      </c>
      <c r="J4" s="571">
        <f>IF($C4="","",IF($K4=0,"",$C4&amp;I4))</f>
      </c>
      <c r="K4" s="447">
        <f>IF($B4="","",IF((COUNTIFS('Format Engine'!$A$23:$A$91,'Format Engine'!$C$4,'Format Engine'!$E$23:$E$91,$B4,'Format Engine'!$D$23:$D$91,"&lt;&gt;P")+COUNTIFS('Format Engine'!$A$23:$A$91,'Format Engine'!$C$4,'Format Engine'!$F$23:$F$91,$B4,'Format Engine'!$D$23:$D$91,"&lt;&gt;P"))&gt;0,1,0))</f>
      </c>
    </row>
    <row r="5" spans="1:11">
      <c r="A5" s="322">
        <f>'Teams Master'!C3</f>
      </c>
      <c r="B5" s="447">
        <f>'Teams Master'!E3</f>
      </c>
      <c r="C5" s="571">
        <f t="shared" ref="C5:C16" si="0">IF(B5="","",LEFT(B5,LEN(B5)-1))</f>
      </c>
      <c r="D5" s="447">
        <f>SUMIFS('Games Schedule'!$U$5:$U$31,'Games Schedule'!$L$5:$L$31,$B5,'Games Schedule'!$J$5:$J$31,"&lt;&gt;P")+SUMIFS('Games Schedule'!$V$5:$V$31,'Games Schedule'!$M$5:$M$31,$B5,'Games Schedule'!$J$5:$J$31,"&lt;&gt;P")</f>
      </c>
      <c r="E5" s="447">
        <f>SUMIFS('Games Schedule'!$S$5:$S$31,'Games Schedule'!$L$5:$L$31,$B5,'Games Schedule'!$J$5:$J$31,"&lt;&gt;P")+SUMIFS('Games Schedule'!$T$5:$T$31,'Games Schedule'!$M$5:$M$31,$B5,'Games Schedule'!$J$5:$J$31,"&lt;&gt;P")</f>
      </c>
      <c r="F5" s="447">
        <f>SUMIFS('Games Schedule'!$T$5:$T$31,'Games Schedule'!$L$5:$L$31,$B5,'Games Schedule'!$J$5:$J$31,"&lt;&gt;P")+SUMIFS('Games Schedule'!$S$5:$S$31,'Games Schedule'!$M$5:$M$31,$B5,'Games Schedule'!$J$5:$J$31,"&lt;&gt;P")</f>
      </c>
      <c r="G5" s="571">
        <f t="shared" ref="G5:G16" si="1">E5-F5</f>
      </c>
      <c r="H5" s="571">
        <f t="shared" ref="H5:H16" si="2">D5*1000+G5</f>
      </c>
      <c r="I5" s="571" cm="1">
        <f t="array" ref="I5">IF($C5="","",IF($K5=0,"",SUMPRODUCT(($C$4:$C$16=$C5)*($K$4:$K$16=1)*($H$4:$H$16&gt;$H5))+SUMPRODUCT(($C$4:$C$16=$C5)*($K$4:$K$16=1)*($H$4:$H$16=$H5)*(ROW($H$4:$H$16)&lt;ROW($H5)))+1))</f>
      </c>
      <c r="J5" s="571">
        <f t="shared" ref="J5:J16" si="3">IF($C5="","",IF($K5=0,"",$C5&amp;I5))</f>
      </c>
      <c r="K5" s="20">
        <f>IF($B5="","",IF((COUNTIFS('Format Engine'!$A$23:$A$91,'Format Engine'!$C$4,'Format Engine'!$E$23:$E$91,$B5,'Format Engine'!$D$23:$D$91,"&lt;&gt;P")+COUNTIFS('Format Engine'!$A$23:$A$91,'Format Engine'!$C$4,'Format Engine'!$F$23:$F$91,$B5,'Format Engine'!$D$23:$D$91,"&lt;&gt;P"))&gt;0,1,0))</f>
      </c>
    </row>
    <row r="6" spans="1:11">
      <c r="A6" s="322">
        <f>'Teams Master'!C4</f>
      </c>
      <c r="B6" s="447">
        <f>'Teams Master'!E4</f>
      </c>
      <c r="C6" s="571">
        <f t="shared" si="0"/>
      </c>
      <c r="D6" s="447">
        <f>SUMIFS('Games Schedule'!$U$5:$U$31,'Games Schedule'!$L$5:$L$31,$B6,'Games Schedule'!$J$5:$J$31,"&lt;&gt;P")+SUMIFS('Games Schedule'!$V$5:$V$31,'Games Schedule'!$M$5:$M$31,$B6,'Games Schedule'!$J$5:$J$31,"&lt;&gt;P")</f>
      </c>
      <c r="E6" s="447">
        <f>SUMIFS('Games Schedule'!$S$5:$S$31,'Games Schedule'!$L$5:$L$31,$B6,'Games Schedule'!$J$5:$J$31,"&lt;&gt;P")+SUMIFS('Games Schedule'!$T$5:$T$31,'Games Schedule'!$M$5:$M$31,$B6,'Games Schedule'!$J$5:$J$31,"&lt;&gt;P")</f>
      </c>
      <c r="F6" s="447">
        <f>SUMIFS('Games Schedule'!$T$5:$T$31,'Games Schedule'!$L$5:$L$31,$B6,'Games Schedule'!$J$5:$J$31,"&lt;&gt;P")+SUMIFS('Games Schedule'!$S$5:$S$31,'Games Schedule'!$M$5:$M$31,$B6,'Games Schedule'!$J$5:$J$31,"&lt;&gt;P")</f>
      </c>
      <c r="G6" s="571">
        <f t="shared" si="1"/>
      </c>
      <c r="H6" s="571">
        <f t="shared" si="2"/>
      </c>
      <c r="I6" s="571" cm="1">
        <f t="array" ref="I6">IF($C6="","",IF($K6=0,"",SUMPRODUCT(($C$4:$C$16=$C6)*($K$4:$K$16=1)*($H$4:$H$16&gt;$H6))+SUMPRODUCT(($C$4:$C$16=$C6)*($K$4:$K$16=1)*($H$4:$H$16=$H6)*(ROW($H$4:$H$16)&lt;ROW($H6)))+1))</f>
      </c>
      <c r="J6" s="571">
        <f t="shared" si="3"/>
      </c>
      <c r="K6" s="20">
        <f>IF($B6="","",IF((COUNTIFS('Format Engine'!$A$23:$A$91,'Format Engine'!$C$4,'Format Engine'!$E$23:$E$91,$B6,'Format Engine'!$D$23:$D$91,"&lt;&gt;P")+COUNTIFS('Format Engine'!$A$23:$A$91,'Format Engine'!$C$4,'Format Engine'!$F$23:$F$91,$B6,'Format Engine'!$D$23:$D$91,"&lt;&gt;P"))&gt;0,1,0))</f>
      </c>
    </row>
    <row r="7" spans="1:11">
      <c r="A7" s="322">
        <f>'Teams Master'!C5</f>
      </c>
      <c r="B7" s="447">
        <f>'Teams Master'!E5</f>
      </c>
      <c r="C7" s="571">
        <f t="shared" si="0"/>
      </c>
      <c r="D7" s="447">
        <f>SUMIFS('Games Schedule'!$U$5:$U$31,'Games Schedule'!$L$5:$L$31,$B7,'Games Schedule'!$J$5:$J$31,"&lt;&gt;P")+SUMIFS('Games Schedule'!$V$5:$V$31,'Games Schedule'!$M$5:$M$31,$B7,'Games Schedule'!$J$5:$J$31,"&lt;&gt;P")</f>
      </c>
      <c r="E7" s="447">
        <f>SUMIFS('Games Schedule'!$S$5:$S$31,'Games Schedule'!$L$5:$L$31,$B7,'Games Schedule'!$J$5:$J$31,"&lt;&gt;P")+SUMIFS('Games Schedule'!$T$5:$T$31,'Games Schedule'!$M$5:$M$31,$B7,'Games Schedule'!$J$5:$J$31,"&lt;&gt;P")</f>
      </c>
      <c r="F7" s="447">
        <f>SUMIFS('Games Schedule'!$T$5:$T$31,'Games Schedule'!$L$5:$L$31,$B7,'Games Schedule'!$J$5:$J$31,"&lt;&gt;P")+SUMIFS('Games Schedule'!$S$5:$S$31,'Games Schedule'!$M$5:$M$31,$B7,'Games Schedule'!$J$5:$J$31,"&lt;&gt;P")</f>
      </c>
      <c r="G7" s="571">
        <f t="shared" si="1"/>
      </c>
      <c r="H7" s="571">
        <f t="shared" si="2"/>
      </c>
      <c r="I7" s="571" cm="1">
        <f t="array" ref="I7">IF($C7="","",IF($K7=0,"",SUMPRODUCT(($C$4:$C$16=$C7)*($K$4:$K$16=1)*($H$4:$H$16&gt;$H7))+SUMPRODUCT(($C$4:$C$16=$C7)*($K$4:$K$16=1)*($H$4:$H$16=$H7)*(ROW($H$4:$H$16)&lt;ROW($H7)))+1))</f>
      </c>
      <c r="J7" s="571">
        <f t="shared" si="3"/>
      </c>
      <c r="K7" s="20">
        <f>IF($B7="","",IF((COUNTIFS('Format Engine'!$A$23:$A$91,'Format Engine'!$C$4,'Format Engine'!$E$23:$E$91,$B7,'Format Engine'!$D$23:$D$91,"&lt;&gt;P")+COUNTIFS('Format Engine'!$A$23:$A$91,'Format Engine'!$C$4,'Format Engine'!$F$23:$F$91,$B7,'Format Engine'!$D$23:$D$91,"&lt;&gt;P"))&gt;0,1,0))</f>
      </c>
    </row>
    <row r="8" spans="1:11">
      <c r="A8" s="322">
        <f>'Teams Master'!C6</f>
      </c>
      <c r="B8" s="447">
        <f>'Teams Master'!E6</f>
      </c>
      <c r="C8" s="571">
        <f t="shared" si="0"/>
      </c>
      <c r="D8" s="447">
        <f>SUMIFS('Games Schedule'!$U$5:$U$31,'Games Schedule'!$L$5:$L$31,$B8,'Games Schedule'!$J$5:$J$31,"&lt;&gt;P")+SUMIFS('Games Schedule'!$V$5:$V$31,'Games Schedule'!$M$5:$M$31,$B8,'Games Schedule'!$J$5:$J$31,"&lt;&gt;P")</f>
      </c>
      <c r="E8" s="447">
        <f>SUMIFS('Games Schedule'!$S$5:$S$31,'Games Schedule'!$L$5:$L$31,$B8,'Games Schedule'!$J$5:$J$31,"&lt;&gt;P")+SUMIFS('Games Schedule'!$T$5:$T$31,'Games Schedule'!$M$5:$M$31,$B8,'Games Schedule'!$J$5:$J$31,"&lt;&gt;P")</f>
      </c>
      <c r="F8" s="447">
        <f>SUMIFS('Games Schedule'!$T$5:$T$31,'Games Schedule'!$L$5:$L$31,$B8,'Games Schedule'!$J$5:$J$31,"&lt;&gt;P")+SUMIFS('Games Schedule'!$S$5:$S$31,'Games Schedule'!$M$5:$M$31,$B8,'Games Schedule'!$J$5:$J$31,"&lt;&gt;P")</f>
      </c>
      <c r="G8" s="571">
        <f t="shared" si="1"/>
      </c>
      <c r="H8" s="571">
        <f t="shared" si="2"/>
      </c>
      <c r="I8" s="571" cm="1">
        <f t="array" ref="I8">IF($C8="","",IF($K8=0,"",SUMPRODUCT(($C$4:$C$16=$C8)*($K$4:$K$16=1)*($H$4:$H$16&gt;$H8))+SUMPRODUCT(($C$4:$C$16=$C8)*($K$4:$K$16=1)*($H$4:$H$16=$H8)*(ROW($H$4:$H$16)&lt;ROW($H8)))+1))</f>
      </c>
      <c r="J8" s="571">
        <f t="shared" si="3"/>
      </c>
      <c r="K8" s="20">
        <f>IF($B8="","",IF((COUNTIFS('Format Engine'!$A$23:$A$91,'Format Engine'!$C$4,'Format Engine'!$E$23:$E$91,$B8,'Format Engine'!$D$23:$D$91,"&lt;&gt;P")+COUNTIFS('Format Engine'!$A$23:$A$91,'Format Engine'!$C$4,'Format Engine'!$F$23:$F$91,$B8,'Format Engine'!$D$23:$D$91,"&lt;&gt;P"))&gt;0,1,0))</f>
      </c>
    </row>
    <row r="9" spans="1:11">
      <c r="A9" s="322">
        <f>'Teams Master'!C7</f>
      </c>
      <c r="B9" s="447">
        <f>'Teams Master'!E7</f>
      </c>
      <c r="C9" s="571">
        <f t="shared" si="0"/>
      </c>
      <c r="D9" s="447">
        <f>SUMIFS('Games Schedule'!$U$5:$U$31,'Games Schedule'!$L$5:$L$31,$B9,'Games Schedule'!$J$5:$J$31,"&lt;&gt;P")+SUMIFS('Games Schedule'!$V$5:$V$31,'Games Schedule'!$M$5:$M$31,$B9,'Games Schedule'!$J$5:$J$31,"&lt;&gt;P")</f>
      </c>
      <c r="E9" s="447">
        <f>SUMIFS('Games Schedule'!$S$5:$S$31,'Games Schedule'!$L$5:$L$31,$B9,'Games Schedule'!$J$5:$J$31,"&lt;&gt;P")+SUMIFS('Games Schedule'!$T$5:$T$31,'Games Schedule'!$M$5:$M$31,$B9,'Games Schedule'!$J$5:$J$31,"&lt;&gt;P")</f>
      </c>
      <c r="F9" s="447">
        <f>SUMIFS('Games Schedule'!$T$5:$T$31,'Games Schedule'!$L$5:$L$31,$B9,'Games Schedule'!$J$5:$J$31,"&lt;&gt;P")+SUMIFS('Games Schedule'!$S$5:$S$31,'Games Schedule'!$M$5:$M$31,$B9,'Games Schedule'!$J$5:$J$31,"&lt;&gt;P")</f>
      </c>
      <c r="G9" s="571">
        <f t="shared" si="1"/>
      </c>
      <c r="H9" s="571">
        <f t="shared" si="2"/>
      </c>
      <c r="I9" s="571" cm="1">
        <f t="array" ref="I9">IF($C9="","",IF($K9=0,"",SUMPRODUCT(($C$4:$C$16=$C9)*($K$4:$K$16=1)*($H$4:$H$16&gt;$H9))+SUMPRODUCT(($C$4:$C$16=$C9)*($K$4:$K$16=1)*($H$4:$H$16=$H9)*(ROW($H$4:$H$16)&lt;ROW($H9)))+1))</f>
      </c>
      <c r="J9" s="571">
        <f t="shared" si="3"/>
      </c>
      <c r="K9" s="20">
        <f>IF($B9="","",IF((COUNTIFS('Format Engine'!$A$23:$A$91,'Format Engine'!$C$4,'Format Engine'!$E$23:$E$91,$B9,'Format Engine'!$D$23:$D$91,"&lt;&gt;P")+COUNTIFS('Format Engine'!$A$23:$A$91,'Format Engine'!$C$4,'Format Engine'!$F$23:$F$91,$B9,'Format Engine'!$D$23:$D$91,"&lt;&gt;P"))&gt;0,1,0))</f>
      </c>
    </row>
    <row r="10" spans="1:11">
      <c r="A10" s="322">
        <f>'Teams Master'!C8</f>
      </c>
      <c r="B10" s="447">
        <f>'Teams Master'!E8</f>
      </c>
      <c r="C10" s="571">
        <f t="shared" si="0"/>
      </c>
      <c r="D10" s="447">
        <f>SUMIFS('Games Schedule'!$U$5:$U$31,'Games Schedule'!$L$5:$L$31,$B10,'Games Schedule'!$J$5:$J$31,"&lt;&gt;P")+SUMIFS('Games Schedule'!$V$5:$V$31,'Games Schedule'!$M$5:$M$31,$B10,'Games Schedule'!$J$5:$J$31,"&lt;&gt;P")</f>
      </c>
      <c r="E10" s="447">
        <f>SUMIFS('Games Schedule'!$S$5:$S$31,'Games Schedule'!$L$5:$L$31,$B10,'Games Schedule'!$J$5:$J$31,"&lt;&gt;P")+SUMIFS('Games Schedule'!$T$5:$T$31,'Games Schedule'!$M$5:$M$31,$B10,'Games Schedule'!$J$5:$J$31,"&lt;&gt;P")</f>
      </c>
      <c r="F10" s="447">
        <f>SUMIFS('Games Schedule'!$T$5:$T$31,'Games Schedule'!$L$5:$L$31,$B10,'Games Schedule'!$J$5:$J$31,"&lt;&gt;P")+SUMIFS('Games Schedule'!$S$5:$S$31,'Games Schedule'!$M$5:$M$31,$B10,'Games Schedule'!$J$5:$J$31,"&lt;&gt;P")</f>
      </c>
      <c r="G10" s="571">
        <f t="shared" si="1"/>
      </c>
      <c r="H10" s="571">
        <f t="shared" si="2"/>
      </c>
      <c r="I10" s="571" cm="1">
        <f t="array" ref="I10">IF($C10="","",IF($K10=0,"",SUMPRODUCT(($C$4:$C$16=$C10)*($K$4:$K$16=1)*($H$4:$H$16&gt;$H10))+SUMPRODUCT(($C$4:$C$16=$C10)*($K$4:$K$16=1)*($H$4:$H$16=$H10)*(ROW($H$4:$H$16)&lt;ROW($H10)))+1))</f>
      </c>
      <c r="J10" s="571">
        <f t="shared" si="3"/>
      </c>
      <c r="K10" s="20">
        <f>IF($B10="","",IF((COUNTIFS('Format Engine'!$A$23:$A$91,'Format Engine'!$C$4,'Format Engine'!$E$23:$E$91,$B10,'Format Engine'!$D$23:$D$91,"&lt;&gt;P")+COUNTIFS('Format Engine'!$A$23:$A$91,'Format Engine'!$C$4,'Format Engine'!$F$23:$F$91,$B10,'Format Engine'!$D$23:$D$91,"&lt;&gt;P"))&gt;0,1,0))</f>
      </c>
    </row>
    <row r="11" spans="1:11">
      <c r="A11" s="322">
        <f>'Teams Master'!C9</f>
      </c>
      <c r="B11" s="447">
        <f>'Teams Master'!E9</f>
      </c>
      <c r="C11" s="571">
        <f t="shared" si="0"/>
      </c>
      <c r="D11" s="447">
        <f>SUMIFS('Games Schedule'!$U$5:$U$31,'Games Schedule'!$L$5:$L$31,$B11,'Games Schedule'!$J$5:$J$31,"&lt;&gt;P")+SUMIFS('Games Schedule'!$V$5:$V$31,'Games Schedule'!$M$5:$M$31,$B11,'Games Schedule'!$J$5:$J$31,"&lt;&gt;P")</f>
      </c>
      <c r="E11" s="447">
        <f>SUMIFS('Games Schedule'!$S$5:$S$31,'Games Schedule'!$L$5:$L$31,$B11,'Games Schedule'!$J$5:$J$31,"&lt;&gt;P")+SUMIFS('Games Schedule'!$T$5:$T$31,'Games Schedule'!$M$5:$M$31,$B11,'Games Schedule'!$J$5:$J$31,"&lt;&gt;P")</f>
      </c>
      <c r="F11" s="447">
        <f>SUMIFS('Games Schedule'!$T$5:$T$31,'Games Schedule'!$L$5:$L$31,$B11,'Games Schedule'!$J$5:$J$31,"&lt;&gt;P")+SUMIFS('Games Schedule'!$S$5:$S$31,'Games Schedule'!$M$5:$M$31,$B11,'Games Schedule'!$J$5:$J$31,"&lt;&gt;P")</f>
      </c>
      <c r="G11" s="571">
        <f t="shared" si="1"/>
      </c>
      <c r="H11" s="571">
        <f t="shared" si="2"/>
      </c>
      <c r="I11" s="571" cm="1">
        <f t="array" ref="I11">IF($C11="","",IF($K11=0,"",SUMPRODUCT(($C$4:$C$16=$C11)*($K$4:$K$16=1)*($H$4:$H$16&gt;$H11))+SUMPRODUCT(($C$4:$C$16=$C11)*($K$4:$K$16=1)*($H$4:$H$16=$H11)*(ROW($H$4:$H$16)&lt;ROW($H11)))+1))</f>
      </c>
      <c r="J11" s="571">
        <f t="shared" si="3"/>
      </c>
      <c r="K11" s="20">
        <f>IF($B11="","",IF((COUNTIFS('Format Engine'!$A$23:$A$91,'Format Engine'!$C$4,'Format Engine'!$E$23:$E$91,$B11,'Format Engine'!$D$23:$D$91,"&lt;&gt;P")+COUNTIFS('Format Engine'!$A$23:$A$91,'Format Engine'!$C$4,'Format Engine'!$F$23:$F$91,$B11,'Format Engine'!$D$23:$D$91,"&lt;&gt;P"))&gt;0,1,0))</f>
      </c>
    </row>
    <row r="12" spans="1:11">
      <c r="A12" s="322">
        <f>'Teams Master'!C10</f>
      </c>
      <c r="B12" s="447">
        <f>'Teams Master'!E10</f>
      </c>
      <c r="C12" s="571">
        <f t="shared" si="0"/>
      </c>
      <c r="D12" s="447">
        <f>SUMIFS('Games Schedule'!$U$5:$U$31,'Games Schedule'!$L$5:$L$31,$B12,'Games Schedule'!$J$5:$J$31,"&lt;&gt;P")+SUMIFS('Games Schedule'!$V$5:$V$31,'Games Schedule'!$M$5:$M$31,$B12,'Games Schedule'!$J$5:$J$31,"&lt;&gt;P")</f>
      </c>
      <c r="E12" s="447">
        <f>SUMIFS('Games Schedule'!$S$5:$S$31,'Games Schedule'!$L$5:$L$31,$B12,'Games Schedule'!$J$5:$J$31,"&lt;&gt;P")+SUMIFS('Games Schedule'!$T$5:$T$31,'Games Schedule'!$M$5:$M$31,$B12,'Games Schedule'!$J$5:$J$31,"&lt;&gt;P")</f>
      </c>
      <c r="F12" s="447">
        <f>SUMIFS('Games Schedule'!$T$5:$T$31,'Games Schedule'!$L$5:$L$31,$B12,'Games Schedule'!$J$5:$J$31,"&lt;&gt;P")+SUMIFS('Games Schedule'!$S$5:$S$31,'Games Schedule'!$M$5:$M$31,$B12,'Games Schedule'!$J$5:$J$31,"&lt;&gt;P")</f>
      </c>
      <c r="G12" s="571">
        <f t="shared" si="1"/>
      </c>
      <c r="H12" s="571">
        <f t="shared" si="2"/>
      </c>
      <c r="I12" s="571" cm="1">
        <f t="array" ref="I12">IF($C12="","",IF($K12=0,"",SUMPRODUCT(($C$4:$C$16=$C12)*($K$4:$K$16=1)*($H$4:$H$16&gt;$H12))+SUMPRODUCT(($C$4:$C$16=$C12)*($K$4:$K$16=1)*($H$4:$H$16=$H12)*(ROW($H$4:$H$16)&lt;ROW($H12)))+1))</f>
      </c>
      <c r="J12" s="571">
        <f t="shared" si="3"/>
      </c>
      <c r="K12" s="20">
        <f>IF($B12="","",IF((COUNTIFS('Format Engine'!$A$23:$A$91,'Format Engine'!$C$4,'Format Engine'!$E$23:$E$91,$B12,'Format Engine'!$D$23:$D$91,"&lt;&gt;P")+COUNTIFS('Format Engine'!$A$23:$A$91,'Format Engine'!$C$4,'Format Engine'!$F$23:$F$91,$B12,'Format Engine'!$D$23:$D$91,"&lt;&gt;P"))&gt;0,1,0))</f>
      </c>
    </row>
    <row r="13" spans="1:11">
      <c r="A13" s="322">
        <f>'Teams Master'!C11</f>
      </c>
      <c r="B13" s="447">
        <f>'Teams Master'!E11</f>
      </c>
      <c r="C13" s="571">
        <f t="shared" si="0"/>
      </c>
      <c r="D13" s="447">
        <f>SUMIFS('Games Schedule'!$U$5:$U$31,'Games Schedule'!$L$5:$L$31,$B13,'Games Schedule'!$J$5:$J$31,"&lt;&gt;P")+SUMIFS('Games Schedule'!$V$5:$V$31,'Games Schedule'!$M$5:$M$31,$B13,'Games Schedule'!$J$5:$J$31,"&lt;&gt;P")</f>
      </c>
      <c r="E13" s="447">
        <f>SUMIFS('Games Schedule'!$S$5:$S$31,'Games Schedule'!$L$5:$L$31,$B13,'Games Schedule'!$J$5:$J$31,"&lt;&gt;P")+SUMIFS('Games Schedule'!$T$5:$T$31,'Games Schedule'!$M$5:$M$31,$B13,'Games Schedule'!$J$5:$J$31,"&lt;&gt;P")</f>
      </c>
      <c r="F13" s="447">
        <f>SUMIFS('Games Schedule'!$T$5:$T$31,'Games Schedule'!$L$5:$L$31,$B13,'Games Schedule'!$J$5:$J$31,"&lt;&gt;P")+SUMIFS('Games Schedule'!$S$5:$S$31,'Games Schedule'!$M$5:$M$31,$B13,'Games Schedule'!$J$5:$J$31,"&lt;&gt;P")</f>
      </c>
      <c r="G13" s="571">
        <f t="shared" si="1"/>
      </c>
      <c r="H13" s="571">
        <f t="shared" si="2"/>
      </c>
      <c r="I13" s="571" cm="1">
        <f t="array" ref="I13">IF($C13="","",IF($K13=0,"",SUMPRODUCT(($C$4:$C$16=$C13)*($K$4:$K$16=1)*($H$4:$H$16&gt;$H13))+SUMPRODUCT(($C$4:$C$16=$C13)*($K$4:$K$16=1)*($H$4:$H$16=$H13)*(ROW($H$4:$H$16)&lt;ROW($H13)))+1))</f>
      </c>
      <c r="J13" s="571">
        <f t="shared" si="3"/>
      </c>
      <c r="K13" s="20">
        <f>IF($B13="","",IF((COUNTIFS('Format Engine'!$A$23:$A$91,'Format Engine'!$C$4,'Format Engine'!$E$23:$E$91,$B13,'Format Engine'!$D$23:$D$91,"&lt;&gt;P")+COUNTIFS('Format Engine'!$A$23:$A$91,'Format Engine'!$C$4,'Format Engine'!$F$23:$F$91,$B13,'Format Engine'!$D$23:$D$91,"&lt;&gt;P"))&gt;0,1,0))</f>
      </c>
    </row>
    <row r="14" spans="1:11">
      <c r="A14" s="322">
        <f>'Teams Master'!C12</f>
      </c>
      <c r="B14" s="447">
        <f>'Teams Master'!E12</f>
      </c>
      <c r="C14" s="571">
        <f t="shared" si="0"/>
      </c>
      <c r="D14" s="447">
        <f>SUMIFS('Games Schedule'!$U$5:$U$31,'Games Schedule'!$L$5:$L$31,$B14,'Games Schedule'!$J$5:$J$31,"&lt;&gt;P")+SUMIFS('Games Schedule'!$V$5:$V$31,'Games Schedule'!$M$5:$M$31,$B14,'Games Schedule'!$J$5:$J$31,"&lt;&gt;P")</f>
      </c>
      <c r="E14" s="447">
        <f>SUMIFS('Games Schedule'!$S$5:$S$31,'Games Schedule'!$L$5:$L$31,$B14,'Games Schedule'!$J$5:$J$31,"&lt;&gt;P")+SUMIFS('Games Schedule'!$T$5:$T$31,'Games Schedule'!$M$5:$M$31,$B14,'Games Schedule'!$J$5:$J$31,"&lt;&gt;P")</f>
      </c>
      <c r="F14" s="447">
        <f>SUMIFS('Games Schedule'!$T$5:$T$31,'Games Schedule'!$L$5:$L$31,$B14,'Games Schedule'!$J$5:$J$31,"&lt;&gt;P")+SUMIFS('Games Schedule'!$S$5:$S$31,'Games Schedule'!$M$5:$M$31,$B14,'Games Schedule'!$J$5:$J$31,"&lt;&gt;P")</f>
      </c>
      <c r="G14" s="571">
        <f t="shared" si="1"/>
      </c>
      <c r="H14" s="571">
        <f t="shared" si="2"/>
      </c>
      <c r="I14" s="571" cm="1">
        <f t="array" ref="I14">IF($C14="","",IF($K14=0,"",SUMPRODUCT(($C$4:$C$16=$C14)*($K$4:$K$16=1)*($H$4:$H$16&gt;$H14))+SUMPRODUCT(($C$4:$C$16=$C14)*($K$4:$K$16=1)*($H$4:$H$16=$H14)*(ROW($H$4:$H$16)&lt;ROW($H14)))+1))</f>
      </c>
      <c r="J14" s="571">
        <f t="shared" si="3"/>
      </c>
      <c r="K14" s="20">
        <f>IF($B14="","",IF((COUNTIFS('Format Engine'!$A$23:$A$91,'Format Engine'!$C$4,'Format Engine'!$E$23:$E$91,$B14,'Format Engine'!$D$23:$D$91,"&lt;&gt;P")+COUNTIFS('Format Engine'!$A$23:$A$91,'Format Engine'!$C$4,'Format Engine'!$F$23:$F$91,$B14,'Format Engine'!$D$23:$D$91,"&lt;&gt;P"))&gt;0,1,0))</f>
      </c>
    </row>
    <row r="15" spans="1:11">
      <c r="A15" s="322">
        <f>'Teams Master'!C13</f>
      </c>
      <c r="B15" s="447">
        <f>'Teams Master'!E13</f>
      </c>
      <c r="C15" s="571">
        <f t="shared" si="0"/>
      </c>
      <c r="D15" s="447">
        <f>SUMIFS('Games Schedule'!$U$5:$U$31,'Games Schedule'!$L$5:$L$31,$B15,'Games Schedule'!$J$5:$J$31,"&lt;&gt;P")+SUMIFS('Games Schedule'!$V$5:$V$31,'Games Schedule'!$M$5:$M$31,$B15,'Games Schedule'!$J$5:$J$31,"&lt;&gt;P")</f>
      </c>
      <c r="E15" s="447">
        <f>SUMIFS('Games Schedule'!$S$5:$S$31,'Games Schedule'!$L$5:$L$31,$B15,'Games Schedule'!$J$5:$J$31,"&lt;&gt;P")+SUMIFS('Games Schedule'!$T$5:$T$31,'Games Schedule'!$M$5:$M$31,$B15,'Games Schedule'!$J$5:$J$31,"&lt;&gt;P")</f>
      </c>
      <c r="F15" s="447">
        <f>SUMIFS('Games Schedule'!$T$5:$T$31,'Games Schedule'!$L$5:$L$31,$B15,'Games Schedule'!$J$5:$J$31,"&lt;&gt;P")+SUMIFS('Games Schedule'!$S$5:$S$31,'Games Schedule'!$M$5:$M$31,$B15,'Games Schedule'!$J$5:$J$31,"&lt;&gt;P")</f>
      </c>
      <c r="G15" s="571">
        <f t="shared" si="1"/>
      </c>
      <c r="H15" s="571">
        <f t="shared" si="2"/>
      </c>
      <c r="I15" s="571" cm="1">
        <f t="array" ref="I15">IF($C15="","",IF($K15=0,"",SUMPRODUCT(($C$4:$C$16=$C15)*($K$4:$K$16=1)*($H$4:$H$16&gt;$H15))+SUMPRODUCT(($C$4:$C$16=$C15)*($K$4:$K$16=1)*($H$4:$H$16=$H15)*(ROW($H$4:$H$16)&lt;ROW($H15)))+1))</f>
      </c>
      <c r="J15" s="571">
        <f t="shared" si="3"/>
      </c>
      <c r="K15" s="20">
        <f>IF($B15="","",IF((COUNTIFS('Format Engine'!$A$23:$A$91,'Format Engine'!$C$4,'Format Engine'!$E$23:$E$91,$B15,'Format Engine'!$D$23:$D$91,"&lt;&gt;P")+COUNTIFS('Format Engine'!$A$23:$A$91,'Format Engine'!$C$4,'Format Engine'!$F$23:$F$91,$B15,'Format Engine'!$D$23:$D$91,"&lt;&gt;P"))&gt;0,1,0))</f>
      </c>
    </row>
    <row r="16" spans="1:11">
      <c r="A16" s="322">
        <f>'Teams Master'!C14</f>
      </c>
      <c r="B16" s="447">
        <f>'Teams Master'!E14</f>
      </c>
      <c r="C16" s="571">
        <f t="shared" si="0"/>
      </c>
      <c r="D16" s="447">
        <f>SUMIFS('Games Schedule'!$U$5:$U$31,'Games Schedule'!$L$5:$L$31,$B16,'Games Schedule'!$J$5:$J$31,"&lt;&gt;P")+SUMIFS('Games Schedule'!$V$5:$V$31,'Games Schedule'!$M$5:$M$31,$B16,'Games Schedule'!$J$5:$J$31,"&lt;&gt;P")</f>
      </c>
      <c r="E16" s="447">
        <f>SUMIFS('Games Schedule'!$S$5:$S$31,'Games Schedule'!$L$5:$L$31,$B16,'Games Schedule'!$J$5:$J$31,"&lt;&gt;P")+SUMIFS('Games Schedule'!$T$5:$T$31,'Games Schedule'!$M$5:$M$31,$B16,'Games Schedule'!$J$5:$J$31,"&lt;&gt;P")</f>
      </c>
      <c r="F16" s="447">
        <f>SUMIFS('Games Schedule'!$T$5:$T$31,'Games Schedule'!$L$5:$L$31,$B16,'Games Schedule'!$J$5:$J$31,"&lt;&gt;P")+SUMIFS('Games Schedule'!$S$5:$S$31,'Games Schedule'!$M$5:$M$31,$B16,'Games Schedule'!$J$5:$J$31,"&lt;&gt;P")</f>
      </c>
      <c r="G16" s="571">
        <f t="shared" si="1"/>
      </c>
      <c r="H16" s="571">
        <f t="shared" si="2"/>
      </c>
      <c r="I16" s="571" cm="1">
        <f t="array" ref="I16">IF($C16="","",IF($K16=0,"",SUMPRODUCT(($C$4:$C$16=$C16)*($K$4:$K$16=1)*($H$4:$H$16&gt;$H16))+SUMPRODUCT(($C$4:$C$16=$C16)*($K$4:$K$16=1)*($H$4:$H$16=$H16)*(ROW($H$4:$H$16)&lt;ROW($H16)))+1))</f>
      </c>
      <c r="J16" s="571">
        <f t="shared" si="3"/>
      </c>
      <c r="K16" s="20">
        <f>IF($B16="","",IF((COUNTIFS('Format Engine'!$A$23:$A$91,'Format Engine'!$C$4,'Format Engine'!$E$23:$E$91,$B16,'Format Engine'!$D$23:$D$91,"&lt;&gt;P")+COUNTIFS('Format Engine'!$A$23:$A$91,'Format Engine'!$C$4,'Format Engine'!$F$23:$F$91,$B16,'Format Engine'!$D$23:$D$91,"&lt;&gt;P"))&gt;0,1,0))</f>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FBA3E-6531-4B53-A6BD-67BA8ACEABA5}">
  <sheetPr>
    <tabColor rgb="FFF4B183"/>
  </sheetPr>
  <dimension ref="A1:R14"/>
  <sheetViews>
    <sheetView workbookViewId="0">
      <selection activeCell="P2" sqref="P2"/>
    </sheetView>
  </sheetViews>
  <sheetFormatPr defaultRowHeight="14.4"/>
  <cols>
    <col min="1" max="1" width="9.6640625" bestFit="1" customWidth="1"/>
    <col min="2" max="2" width="24.109375" bestFit="1" customWidth="1"/>
    <col min="3" max="3" width="18.109375" bestFit="1" customWidth="1"/>
    <col min="4" max="4" width="9.6640625" bestFit="1" customWidth="1"/>
    <col min="5" max="5" width="13.33203125" bestFit="1" customWidth="1"/>
    <col min="6" max="6" width="18.6640625" bestFit="1" customWidth="1"/>
    <col min="7" max="7" width="18.44140625" bestFit="1" customWidth="1"/>
    <col min="8" max="8" width="31" bestFit="1" customWidth="1"/>
    <col min="9" max="9" width="95.33203125" bestFit="1" customWidth="1"/>
    <col min="10" max="10" width="15.6640625" bestFit="1" customWidth="1"/>
    <col min="11" max="11" width="15" bestFit="1" customWidth="1"/>
    <col min="15" max="15" width="13" customWidth="1"/>
    <col min="16" max="16" width="12.88671875" customWidth="1"/>
    <col min="17" max="17" width="13.44140625" customWidth="1"/>
    <col min="18" max="18" width="13.109375" customWidth="1"/>
  </cols>
  <sheetData>
    <row r="1" spans="1:18">
      <c r="A1" s="235" t="s">
        <v>455</v>
      </c>
      <c r="B1" s="235" t="s">
        <v>456</v>
      </c>
      <c r="C1" s="235" t="s">
        <v>457</v>
      </c>
      <c r="D1" s="235" t="s">
        <v>458</v>
      </c>
      <c r="E1" s="235" t="s">
        <v>459</v>
      </c>
      <c r="F1" s="235" t="s">
        <v>460</v>
      </c>
      <c r="G1" s="235" t="s">
        <v>461</v>
      </c>
      <c r="H1" s="235" t="s">
        <v>462</v>
      </c>
      <c r="I1" s="235" t="s">
        <v>463</v>
      </c>
      <c r="J1" s="235" t="s">
        <v>464</v>
      </c>
      <c r="K1" s="28" t="s">
        <v>465</v>
      </c>
      <c r="L1" s="792" t="s">
        <v>466</v>
      </c>
      <c r="M1" s="310" t="s">
        <v>467</v>
      </c>
      <c r="O1" s="28" t="s">
        <v>456</v>
      </c>
      <c r="P1" s="28" t="s">
        <v>457</v>
      </c>
      <c r="Q1" s="28" t="s">
        <v>468</v>
      </c>
      <c r="R1" s="28" t="s">
        <v>469</v>
      </c>
    </row>
    <row r="2" spans="1:18">
      <c r="A2" s="240">
        <f>IF($C2="","",IF($D2="Men","M"&amp;COUNTIF($D$2:$D2,"Men"),"W"&amp;COUNTIF($D$2:$D2,"Women")))</f>
      </c>
      <c r="B2" s="586">
        <f>IFERROR(INDEX('Registration 2027'!$A$2:$A$45,MATCH(ROW()-1,'Registration 2027'!$U$2:$U$53,0)),"")</f>
      </c>
      <c r="C2" s="586">
        <f>IF($B2="","",IFERROR(_xlfn.XLOOKUP($B2,TeamStyles[Team Name],TeamStyles[Short Name]),"⚠ add to Team Styles"))</f>
      </c>
      <c r="D2" s="586">
        <f>IFERROR(INDEX('Registration 2027'!$B$2:$B$45,MATCH(ROW()-1,'Registration 2027'!$U$2:$U$53,0)),"")</f>
      </c>
      <c r="E2" s="194" t="s">
        <v>470</v>
      </c>
      <c r="F2" s="586">
        <f>IF($B2="","",IFERROR(_xlfn.XLOOKUP($B2,TeamStyles[Team Name],TeamStyles[Jersey Home]),"⚠ add to Team Styles"))</f>
      </c>
      <c r="G2" s="586">
        <f>IF($B2="","",IFERROR(_xlfn.XLOOKUP($B2,TeamStyles[Team Name],TeamStyles[Jersey Away]),"⚠ add to Team Styles"))</f>
      </c>
      <c r="H2" s="586">
        <f>IFERROR(_xlfn.LET(_xlpm.v,INDEX('Registration 2027'!$K$2:$K$45,MATCH(ROW()-1,'Registration 2027'!$U$2:$U$53,0)),IF(OR(_xlpm.v=0,_xlpm.v=""),"",_xlpm.v)),"")</f>
      </c>
      <c r="I2" s="586">
        <f>IFERROR(_xlfn.LET(_xlpm.v,INDEX('Registration 2027'!$L$2:$L$45,MATCH(ROW()-1,'Registration 2027'!$U$2:$U$53,0)),IF(OR(_xlpm.v=0,_xlpm.v=""),"",_xlpm.v)),"")</f>
      </c>
      <c r="J2" s="586">
        <f>IFERROR(_xlfn.LET(_xlpm.v,INDEX('Registration 2027'!$N$2:$N$45,MATCH(ROW()-1,'Registration 2027'!$U$2:$U$53,0)),IF(OR(_xlpm.v=0,_xlpm.v=""),"",_xlpm.v)),"")</f>
      </c>
      <c r="K2" s="586">
        <f>IFERROR(INDEX('Registration 2027'!$J$2:$J$45,MATCH(ROW()-1,'Registration 2027'!$U$2:$U$53,0)),"")</f>
      </c>
      <c r="L2" s="184"/>
      <c r="M2" s="340">
        <f>IF(E2="","",IF(COUNTIF($E$2:$E$14,E2)&gt;1,"DUPLICATE","OK"))</f>
      </c>
      <c r="O2" t="s">
        <v>471</v>
      </c>
      <c r="P2" t="s">
        <v>472</v>
      </c>
      <c r="Q2" t="s">
        <v>473</v>
      </c>
      <c r="R2" t="s">
        <v>474</v>
      </c>
    </row>
    <row r="3" spans="1:18">
      <c r="A3" s="184">
        <f>IF($C3="","",IF($D3="Men","M"&amp;COUNTIF($D$2:$D3,"Men"),"W"&amp;COUNTIF($D$2:$D3,"Women")))</f>
      </c>
      <c r="B3" s="184">
        <f>IFERROR(INDEX('Registration 2027'!$A$2:$A$45,MATCH(ROW()-1,'Registration 2027'!$U$2:$U$53,0)),"")</f>
      </c>
      <c r="C3" s="586">
        <f>IF($B3="","",IFERROR(_xlfn.XLOOKUP($B3,TeamStyles[Team Name],TeamStyles[Short Name]),"⚠ add to Team Styles"))</f>
      </c>
      <c r="D3" s="184">
        <f>IFERROR(INDEX('Registration 2027'!$B$2:$B$45,MATCH(ROW()-1,'Registration 2027'!$U$2:$U$53,0)),"")</f>
      </c>
      <c r="E3" s="194" t="s">
        <v>475</v>
      </c>
      <c r="F3" s="586">
        <f>IF($B3="","",IFERROR(_xlfn.XLOOKUP($B3,TeamStyles[Team Name],TeamStyles[Jersey Home]),"⚠ add to Team Styles"))</f>
      </c>
      <c r="G3" s="586">
        <f>IF($B3="","",IFERROR(_xlfn.XLOOKUP($B3,TeamStyles[Team Name],TeamStyles[Jersey Away]),"⚠ add to Team Styles"))</f>
      </c>
      <c r="H3" s="586">
        <f>IFERROR(_xlfn.LET(_xlpm.v,INDEX('Registration 2027'!$K$2:$K$45,MATCH(ROW()-1,'Registration 2027'!$U$2:$U$53,0)),IF(OR(_xlpm.v=0,_xlpm.v=""),"",_xlpm.v)),"")</f>
      </c>
      <c r="I3" s="586">
        <f>IFERROR(_xlfn.LET(_xlpm.v,INDEX('Registration 2027'!$L$2:$L$45,MATCH(ROW()-1,'Registration 2027'!$U$2:$U$53,0)),IF(OR(_xlpm.v=0,_xlpm.v=""),"",_xlpm.v)),"")</f>
      </c>
      <c r="J3" s="586">
        <f>IFERROR(_xlfn.LET(_xlpm.v,INDEX('Registration 2027'!$N$2:$N$45,MATCH(ROW()-1,'Registration 2027'!$U$2:$U$53,0)),IF(OR(_xlpm.v=0,_xlpm.v=""),"",_xlpm.v)),"")</f>
      </c>
      <c r="K3" s="322">
        <f>IFERROR(INDEX('Registration 2027'!$J$2:$J$45,MATCH(ROW()-1,'Registration 2027'!$U$2:$U$53,0)),"")</f>
      </c>
      <c r="L3" s="184"/>
      <c r="M3" s="340">
        <f t="shared" ref="M3:M14" si="0">IF(E3="","",IF(COUNTIF($E$2:$E$14,E3)&gt;1,"DUPLICATE","OK"))</f>
      </c>
      <c r="O3" t="s">
        <v>476</v>
      </c>
      <c r="P3" t="s">
        <v>477</v>
      </c>
      <c r="Q3" t="s">
        <v>478</v>
      </c>
      <c r="R3" t="s">
        <v>474</v>
      </c>
    </row>
    <row r="4" spans="1:18">
      <c r="A4" s="184">
        <f>IF($C4="","",IF($D4="Men","M"&amp;COUNTIF($D$2:$D4,"Men"),"W"&amp;COUNTIF($D$2:$D4,"Women")))</f>
      </c>
      <c r="B4" s="184">
        <f>IFERROR(INDEX('Registration 2027'!$A$2:$A$45,MATCH(ROW()-1,'Registration 2027'!$U$2:$U$53,0)),"")</f>
      </c>
      <c r="C4" s="586">
        <f>IF($B4="","",IFERROR(_xlfn.XLOOKUP($B4,TeamStyles[Team Name],TeamStyles[Short Name]),"⚠ add to Team Styles"))</f>
      </c>
      <c r="D4" s="184">
        <f>IFERROR(INDEX('Registration 2027'!$B$2:$B$45,MATCH(ROW()-1,'Registration 2027'!$U$2:$U$53,0)),"")</f>
      </c>
      <c r="E4" s="194" t="s">
        <v>479</v>
      </c>
      <c r="F4" s="586">
        <f>IF($B4="","",IFERROR(_xlfn.XLOOKUP($B4,TeamStyles[Team Name],TeamStyles[Jersey Home]),"⚠ add to Team Styles"))</f>
      </c>
      <c r="G4" s="586">
        <f>IF($B4="","",IFERROR(_xlfn.XLOOKUP($B4,TeamStyles[Team Name],TeamStyles[Jersey Away]),"⚠ add to Team Styles"))</f>
      </c>
      <c r="H4" s="586">
        <f>IFERROR(_xlfn.LET(_xlpm.v,INDEX('Registration 2027'!$K$2:$K$45,MATCH(ROW()-1,'Registration 2027'!$U$2:$U$53,0)),IF(OR(_xlpm.v=0,_xlpm.v=""),"",_xlpm.v)),"")</f>
      </c>
      <c r="I4" s="586">
        <f>IFERROR(_xlfn.LET(_xlpm.v,INDEX('Registration 2027'!$L$2:$L$45,MATCH(ROW()-1,'Registration 2027'!$U$2:$U$53,0)),IF(OR(_xlpm.v=0,_xlpm.v=""),"",_xlpm.v)),"")</f>
      </c>
      <c r="J4" s="586">
        <f>IFERROR(_xlfn.LET(_xlpm.v,INDEX('Registration 2027'!$N$2:$N$45,MATCH(ROW()-1,'Registration 2027'!$U$2:$U$53,0)),IF(OR(_xlpm.v=0,_xlpm.v=""),"",_xlpm.v)),"")</f>
      </c>
      <c r="K4" s="322">
        <f>IFERROR(INDEX('Registration 2027'!$J$2:$J$45,MATCH(ROW()-1,'Registration 2027'!$U$2:$U$53,0)),"")</f>
      </c>
      <c r="L4" s="184"/>
      <c r="M4" s="340">
        <f t="shared" si="0"/>
      </c>
      <c r="O4" t="s">
        <v>480</v>
      </c>
      <c r="P4" t="s">
        <v>481</v>
      </c>
      <c r="Q4" t="s">
        <v>482</v>
      </c>
      <c r="R4" t="s">
        <v>474</v>
      </c>
    </row>
    <row r="5" spans="1:18">
      <c r="A5" s="184">
        <f>IF($C5="","",IF($D5="Men","M"&amp;COUNTIF($D$2:$D5,"Men"),"W"&amp;COUNTIF($D$2:$D5,"Women")))</f>
      </c>
      <c r="B5" s="184">
        <f>IFERROR(INDEX('Registration 2027'!$A$2:$A$45,MATCH(ROW()-1,'Registration 2027'!$U$2:$U$53,0)),"")</f>
      </c>
      <c r="C5" s="586">
        <f>IF($B5="","",IFERROR(_xlfn.XLOOKUP($B5,TeamStyles[Team Name],TeamStyles[Short Name]),"⚠ add to Team Styles"))</f>
      </c>
      <c r="D5" s="184">
        <f>IFERROR(INDEX('Registration 2027'!$B$2:$B$45,MATCH(ROW()-1,'Registration 2027'!$U$2:$U$53,0)),"")</f>
      </c>
      <c r="E5" s="194" t="s">
        <v>483</v>
      </c>
      <c r="F5" s="586">
        <f>IF($B5="","",IFERROR(_xlfn.XLOOKUP($B5,TeamStyles[Team Name],TeamStyles[Jersey Home]),"⚠ add to Team Styles"))</f>
      </c>
      <c r="G5" s="586">
        <f>IF($B5="","",IFERROR(_xlfn.XLOOKUP($B5,TeamStyles[Team Name],TeamStyles[Jersey Away]),"⚠ add to Team Styles"))</f>
      </c>
      <c r="H5" s="586">
        <f>IFERROR(_xlfn.LET(_xlpm.v,INDEX('Registration 2027'!$K$2:$K$45,MATCH(ROW()-1,'Registration 2027'!$U$2:$U$53,0)),IF(OR(_xlpm.v=0,_xlpm.v=""),"",_xlpm.v)),"")</f>
      </c>
      <c r="I5" s="586">
        <f>IFERROR(_xlfn.LET(_xlpm.v,INDEX('Registration 2027'!$L$2:$L$45,MATCH(ROW()-1,'Registration 2027'!$U$2:$U$53,0)),IF(OR(_xlpm.v=0,_xlpm.v=""),"",_xlpm.v)),"")</f>
      </c>
      <c r="J5" s="586">
        <f>IFERROR(_xlfn.LET(_xlpm.v,INDEX('Registration 2027'!$N$2:$N$45,MATCH(ROW()-1,'Registration 2027'!$U$2:$U$53,0)),IF(OR(_xlpm.v=0,_xlpm.v=""),"",_xlpm.v)),"")</f>
      </c>
      <c r="K5" s="322">
        <f>IFERROR(INDEX('Registration 2027'!$J$2:$J$45,MATCH(ROW()-1,'Registration 2027'!$U$2:$U$53,0)),"")</f>
      </c>
      <c r="L5" s="184"/>
      <c r="M5" s="340">
        <f t="shared" si="0"/>
      </c>
      <c r="O5" t="s">
        <v>484</v>
      </c>
      <c r="P5" t="s">
        <v>485</v>
      </c>
      <c r="Q5" t="s">
        <v>486</v>
      </c>
      <c r="R5" t="s">
        <v>487</v>
      </c>
    </row>
    <row r="6" spans="1:18">
      <c r="A6" s="184">
        <f>IF($C6="","",IF($D6="Men","M"&amp;COUNTIF($D$2:$D6,"Men"),"W"&amp;COUNTIF($D$2:$D6,"Women")))</f>
      </c>
      <c r="B6" s="184">
        <f>IFERROR(INDEX('Registration 2027'!$A$2:$A$45,MATCH(ROW()-1,'Registration 2027'!$U$2:$U$53,0)),"")</f>
      </c>
      <c r="C6" s="586">
        <f>IF($B6="","",IFERROR(_xlfn.XLOOKUP($B6,TeamStyles[Team Name],TeamStyles[Short Name]),"⚠ add to Team Styles"))</f>
      </c>
      <c r="D6" s="184">
        <f>IFERROR(INDEX('Registration 2027'!$B$2:$B$45,MATCH(ROW()-1,'Registration 2027'!$U$2:$U$53,0)),"")</f>
      </c>
      <c r="E6" s="194" t="s">
        <v>488</v>
      </c>
      <c r="F6" s="586">
        <f>IF($B6="","",IFERROR(_xlfn.XLOOKUP($B6,TeamStyles[Team Name],TeamStyles[Jersey Home]),"⚠ add to Team Styles"))</f>
      </c>
      <c r="G6" s="586">
        <f>IF($B6="","",IFERROR(_xlfn.XLOOKUP($B6,TeamStyles[Team Name],TeamStyles[Jersey Away]),"⚠ add to Team Styles"))</f>
      </c>
      <c r="H6" s="586">
        <f>IFERROR(_xlfn.LET(_xlpm.v,INDEX('Registration 2027'!$K$2:$K$45,MATCH(ROW()-1,'Registration 2027'!$U$2:$U$53,0)),IF(OR(_xlpm.v=0,_xlpm.v=""),"",_xlpm.v)),"")</f>
      </c>
      <c r="I6" s="586">
        <f>IFERROR(_xlfn.LET(_xlpm.v,INDEX('Registration 2027'!$L$2:$L$45,MATCH(ROW()-1,'Registration 2027'!$U$2:$U$53,0)),IF(OR(_xlpm.v=0,_xlpm.v=""),"",_xlpm.v)),"")</f>
      </c>
      <c r="J6" s="586">
        <f>IFERROR(_xlfn.LET(_xlpm.v,INDEX('Registration 2027'!$N$2:$N$45,MATCH(ROW()-1,'Registration 2027'!$U$2:$U$53,0)),IF(OR(_xlpm.v=0,_xlpm.v=""),"",_xlpm.v)),"")</f>
      </c>
      <c r="K6" s="322">
        <f>IFERROR(INDEX('Registration 2027'!$J$2:$J$45,MATCH(ROW()-1,'Registration 2027'!$U$2:$U$53,0)),"")</f>
      </c>
      <c r="L6" s="184"/>
      <c r="M6" s="340">
        <f t="shared" si="0"/>
      </c>
      <c r="O6" t="s">
        <v>489</v>
      </c>
      <c r="P6" t="s">
        <v>490</v>
      </c>
      <c r="Q6" t="s">
        <v>491</v>
      </c>
      <c r="R6" t="s">
        <v>492</v>
      </c>
    </row>
    <row r="7" spans="1:18">
      <c r="A7" s="184">
        <f>IF($C7="","",IF($D7="Men","M"&amp;COUNTIF($D$2:$D7,"Men"),"W"&amp;COUNTIF($D$2:$D7,"Women")))</f>
      </c>
      <c r="B7" s="184">
        <f>IFERROR(INDEX('Registration 2027'!$A$2:$A$45,MATCH(ROW()-1,'Registration 2027'!$U$2:$U$53,0)),"")</f>
      </c>
      <c r="C7" s="586">
        <f>IF($B7="","",IFERROR(_xlfn.XLOOKUP($B7,TeamStyles[Team Name],TeamStyles[Short Name]),"⚠ add to Team Styles"))</f>
      </c>
      <c r="D7" s="184">
        <f>IFERROR(INDEX('Registration 2027'!$B$2:$B$45,MATCH(ROW()-1,'Registration 2027'!$U$2:$U$53,0)),"")</f>
      </c>
      <c r="E7" s="194" t="s">
        <v>493</v>
      </c>
      <c r="F7" s="586">
        <f>IF($B7="","",IFERROR(_xlfn.XLOOKUP($B7,TeamStyles[Team Name],TeamStyles[Jersey Home]),"⚠ add to Team Styles"))</f>
      </c>
      <c r="G7" s="586">
        <f>IF($B7="","",IFERROR(_xlfn.XLOOKUP($B7,TeamStyles[Team Name],TeamStyles[Jersey Away]),"⚠ add to Team Styles"))</f>
      </c>
      <c r="H7" s="586">
        <f>IFERROR(_xlfn.LET(_xlpm.v,INDEX('Registration 2027'!$K$2:$K$45,MATCH(ROW()-1,'Registration 2027'!$U$2:$U$53,0)),IF(OR(_xlpm.v=0,_xlpm.v=""),"",_xlpm.v)),"")</f>
      </c>
      <c r="I7" s="586">
        <f>IFERROR(_xlfn.LET(_xlpm.v,INDEX('Registration 2027'!$L$2:$L$45,MATCH(ROW()-1,'Registration 2027'!$U$2:$U$53,0)),IF(OR(_xlpm.v=0,_xlpm.v=""),"",_xlpm.v)),"")</f>
      </c>
      <c r="J7" s="586">
        <f>IFERROR(_xlfn.LET(_xlpm.v,INDEX('Registration 2027'!$N$2:$N$45,MATCH(ROW()-1,'Registration 2027'!$U$2:$U$53,0)),IF(OR(_xlpm.v=0,_xlpm.v=""),"",_xlpm.v)),"")</f>
      </c>
      <c r="K7" s="322">
        <f>IFERROR(INDEX('Registration 2027'!$J$2:$J$45,MATCH(ROW()-1,'Registration 2027'!$U$2:$U$53,0)),"")</f>
      </c>
      <c r="L7" s="184"/>
      <c r="M7" s="340">
        <f t="shared" si="0"/>
      </c>
      <c r="O7" t="s">
        <v>494</v>
      </c>
      <c r="P7" t="s">
        <v>495</v>
      </c>
      <c r="Q7" t="s">
        <v>496</v>
      </c>
      <c r="R7" t="s">
        <v>474</v>
      </c>
    </row>
    <row r="8" spans="1:18">
      <c r="A8" s="184">
        <f>IF($C8="","",IF($D8="Men","M"&amp;COUNTIF($D$2:$D8,"Men"),"W"&amp;COUNTIF($D$2:$D8,"Women")))</f>
      </c>
      <c r="B8" s="184">
        <f>IFERROR(INDEX('Registration 2027'!$A$2:$A$45,MATCH(ROW()-1,'Registration 2027'!$U$2:$U$53,0)),"")</f>
      </c>
      <c r="C8" s="586">
        <f>IF($B8="","",IFERROR(_xlfn.XLOOKUP($B8,TeamStyles[Team Name],TeamStyles[Short Name]),"⚠ add to Team Styles"))</f>
      </c>
      <c r="D8" s="184">
        <f>IFERROR(INDEX('Registration 2027'!$B$2:$B$45,MATCH(ROW()-1,'Registration 2027'!$U$2:$U$53,0)),"")</f>
      </c>
      <c r="E8" s="194" t="s">
        <v>497</v>
      </c>
      <c r="F8" s="586">
        <f>IF($B8="","",IFERROR(_xlfn.XLOOKUP($B8,TeamStyles[Team Name],TeamStyles[Jersey Home]),"⚠ add to Team Styles"))</f>
      </c>
      <c r="G8" s="586">
        <f>IF($B8="","",IFERROR(_xlfn.XLOOKUP($B8,TeamStyles[Team Name],TeamStyles[Jersey Away]),"⚠ add to Team Styles"))</f>
      </c>
      <c r="H8" s="586">
        <f>IFERROR(_xlfn.LET(_xlpm.v,INDEX('Registration 2027'!$K$2:$K$45,MATCH(ROW()-1,'Registration 2027'!$U$2:$U$53,0)),IF(OR(_xlpm.v=0,_xlpm.v=""),"",_xlpm.v)),"")</f>
      </c>
      <c r="I8" s="586">
        <f>IFERROR(_xlfn.LET(_xlpm.v,INDEX('Registration 2027'!$L$2:$L$45,MATCH(ROW()-1,'Registration 2027'!$U$2:$U$53,0)),IF(OR(_xlpm.v=0,_xlpm.v=""),"",_xlpm.v)),"")</f>
      </c>
      <c r="J8" s="586">
        <f>IFERROR(_xlfn.LET(_xlpm.v,INDEX('Registration 2027'!$N$2:$N$45,MATCH(ROW()-1,'Registration 2027'!$U$2:$U$53,0)),IF(OR(_xlpm.v=0,_xlpm.v=""),"",_xlpm.v)),"")</f>
      </c>
      <c r="K8" s="322">
        <f>IFERROR(INDEX('Registration 2027'!$J$2:$J$45,MATCH(ROW()-1,'Registration 2027'!$U$2:$U$53,0)),"")</f>
      </c>
      <c r="L8" s="184"/>
      <c r="M8" s="340">
        <f t="shared" si="0"/>
      </c>
      <c r="O8" t="s">
        <v>498</v>
      </c>
      <c r="P8" t="s">
        <v>499</v>
      </c>
      <c r="Q8" t="s">
        <v>500</v>
      </c>
      <c r="R8" t="s">
        <v>501</v>
      </c>
    </row>
    <row r="9" spans="1:18">
      <c r="A9" s="184">
        <f>IF($C9="","",IF($D9="Men","M"&amp;COUNTIF($D$2:$D9,"Men"),"W"&amp;COUNTIF($D$2:$D9,"Women")))</f>
      </c>
      <c r="B9" s="184">
        <f>IFERROR(INDEX('Registration 2027'!$A$2:$A$45,MATCH(ROW()-1,'Registration 2027'!$U$2:$U$53,0)),"")</f>
      </c>
      <c r="C9" s="586">
        <f>IF($B9="","",IFERROR(_xlfn.XLOOKUP($B9,TeamStyles[Team Name],TeamStyles[Short Name]),"⚠ add to Team Styles"))</f>
      </c>
      <c r="D9" s="184">
        <f>IFERROR(INDEX('Registration 2027'!$B$2:$B$45,MATCH(ROW()-1,'Registration 2027'!$U$2:$U$53,0)),"")</f>
      </c>
      <c r="E9" s="194" t="s">
        <v>502</v>
      </c>
      <c r="F9" s="586">
        <f>IF($B9="","",IFERROR(_xlfn.XLOOKUP($B9,TeamStyles[Team Name],TeamStyles[Jersey Home]),"⚠ add to Team Styles"))</f>
      </c>
      <c r="G9" s="586">
        <f>IF($B9="","",IFERROR(_xlfn.XLOOKUP($B9,TeamStyles[Team Name],TeamStyles[Jersey Away]),"⚠ add to Team Styles"))</f>
      </c>
      <c r="H9" s="586">
        <f>IFERROR(_xlfn.LET(_xlpm.v,INDEX('Registration 2027'!$K$2:$K$45,MATCH(ROW()-1,'Registration 2027'!$U$2:$U$53,0)),IF(OR(_xlpm.v=0,_xlpm.v=""),"",_xlpm.v)),"")</f>
      </c>
      <c r="I9" s="586">
        <f>IFERROR(_xlfn.LET(_xlpm.v,INDEX('Registration 2027'!$L$2:$L$45,MATCH(ROW()-1,'Registration 2027'!$U$2:$U$53,0)),IF(OR(_xlpm.v=0,_xlpm.v=""),"",_xlpm.v)),"")</f>
      </c>
      <c r="J9" s="586">
        <f>IFERROR(_xlfn.LET(_xlpm.v,INDEX('Registration 2027'!$N$2:$N$45,MATCH(ROW()-1,'Registration 2027'!$U$2:$U$53,0)),IF(OR(_xlpm.v=0,_xlpm.v=""),"",_xlpm.v)),"")</f>
      </c>
      <c r="K9" s="322">
        <f>IFERROR(INDEX('Registration 2027'!$J$2:$J$45,MATCH(ROW()-1,'Registration 2027'!$U$2:$U$53,0)),"")</f>
      </c>
      <c r="L9" s="184"/>
      <c r="M9" s="340">
        <f t="shared" si="0"/>
      </c>
      <c r="O9" t="s">
        <v>503</v>
      </c>
      <c r="P9" t="s">
        <v>504</v>
      </c>
      <c r="Q9" t="s">
        <v>505</v>
      </c>
      <c r="R9" t="s">
        <v>491</v>
      </c>
    </row>
    <row r="10" spans="1:18">
      <c r="A10" s="184">
        <f>IF($C10="","",IF($D10="Men","M"&amp;COUNTIF($D$2:$D10,"Men"),"W"&amp;COUNTIF($D$2:$D10,"Women")))</f>
      </c>
      <c r="B10" s="184">
        <f>IFERROR(INDEX('Registration 2027'!$A$2:$A$45,MATCH(ROW()-1,'Registration 2027'!$U$2:$U$53,0)),"")</f>
      </c>
      <c r="C10" s="586">
        <f>IF($B10="","",IFERROR(_xlfn.XLOOKUP($B10,TeamStyles[Team Name],TeamStyles[Short Name]),"⚠ add to Team Styles"))</f>
      </c>
      <c r="D10" s="184">
        <f>IFERROR(INDEX('Registration 2027'!$B$2:$B$45,MATCH(ROW()-1,'Registration 2027'!$U$2:$U$53,0)),"")</f>
      </c>
      <c r="E10" s="194" t="s">
        <v>506</v>
      </c>
      <c r="F10" s="586">
        <f>IF($B10="","",IFERROR(_xlfn.XLOOKUP($B10,TeamStyles[Team Name],TeamStyles[Jersey Home]),"⚠ add to Team Styles"))</f>
      </c>
      <c r="G10" s="586">
        <f>IF($B10="","",IFERROR(_xlfn.XLOOKUP($B10,TeamStyles[Team Name],TeamStyles[Jersey Away]),"⚠ add to Team Styles"))</f>
      </c>
      <c r="H10" s="586">
        <f>IFERROR(_xlfn.LET(_xlpm.v,INDEX('Registration 2027'!$K$2:$K$45,MATCH(ROW()-1,'Registration 2027'!$U$2:$U$53,0)),IF(OR(_xlpm.v=0,_xlpm.v=""),"",_xlpm.v)),"")</f>
      </c>
      <c r="I10" s="586">
        <f>IFERROR(_xlfn.LET(_xlpm.v,INDEX('Registration 2027'!$L$2:$L$45,MATCH(ROW()-1,'Registration 2027'!$U$2:$U$53,0)),IF(OR(_xlpm.v=0,_xlpm.v=""),"",_xlpm.v)),"")</f>
      </c>
      <c r="J10" s="586">
        <f>IFERROR(_xlfn.LET(_xlpm.v,INDEX('Registration 2027'!$N$2:$N$45,MATCH(ROW()-1,'Registration 2027'!$U$2:$U$53,0)),IF(OR(_xlpm.v=0,_xlpm.v=""),"",_xlpm.v)),"")</f>
      </c>
      <c r="K10" s="322">
        <f>IFERROR(INDEX('Registration 2027'!$J$2:$J$45,MATCH(ROW()-1,'Registration 2027'!$U$2:$U$53,0)),"")</f>
      </c>
      <c r="L10" s="184"/>
      <c r="M10" s="340">
        <f t="shared" si="0"/>
      </c>
      <c r="O10" t="s">
        <v>507</v>
      </c>
      <c r="P10" t="s">
        <v>508</v>
      </c>
      <c r="Q10" t="s">
        <v>473</v>
      </c>
      <c r="R10" t="s">
        <v>474</v>
      </c>
    </row>
    <row r="11" spans="1:18">
      <c r="A11" s="184">
        <f>IF($C11="","",IF($D11="Men","M"&amp;COUNTIF($D$2:$D11,"Men"),"W"&amp;COUNTIF($D$2:$D11,"Women")))</f>
      </c>
      <c r="B11" s="184">
        <f>IFERROR(INDEX('Registration 2027'!$A$2:$A$45,MATCH(ROW()-1,'Registration 2027'!$U$2:$U$53,0)),"")</f>
      </c>
      <c r="C11" s="586">
        <f>IF($B11="","",IFERROR(_xlfn.XLOOKUP($B11,TeamStyles[Team Name],TeamStyles[Short Name]),"⚠ add to Team Styles"))</f>
      </c>
      <c r="D11" s="184">
        <f>IFERROR(INDEX('Registration 2027'!$B$2:$B$45,MATCH(ROW()-1,'Registration 2027'!$U$2:$U$53,0)),"")</f>
      </c>
      <c r="E11" s="194" t="s">
        <v>509</v>
      </c>
      <c r="F11" s="586">
        <f>IF($B11="","",IFERROR(_xlfn.XLOOKUP($B11,TeamStyles[Team Name],TeamStyles[Jersey Home]),"⚠ add to Team Styles"))</f>
      </c>
      <c r="G11" s="586">
        <f>IF($B11="","",IFERROR(_xlfn.XLOOKUP($B11,TeamStyles[Team Name],TeamStyles[Jersey Away]),"⚠ add to Team Styles"))</f>
      </c>
      <c r="H11" s="586">
        <f>IFERROR(_xlfn.LET(_xlpm.v,INDEX('Registration 2027'!$K$2:$K$45,MATCH(ROW()-1,'Registration 2027'!$U$2:$U$53,0)),IF(OR(_xlpm.v=0,_xlpm.v=""),"",_xlpm.v)),"")</f>
      </c>
      <c r="I11" s="586">
        <f>IFERROR(_xlfn.LET(_xlpm.v,INDEX('Registration 2027'!$L$2:$L$45,MATCH(ROW()-1,'Registration 2027'!$U$2:$U$53,0)),IF(OR(_xlpm.v=0,_xlpm.v=""),"",_xlpm.v)),"")</f>
      </c>
      <c r="J11" s="586">
        <f>IFERROR(_xlfn.LET(_xlpm.v,INDEX('Registration 2027'!$N$2:$N$45,MATCH(ROW()-1,'Registration 2027'!$U$2:$U$53,0)),IF(OR(_xlpm.v=0,_xlpm.v=""),"",_xlpm.v)),"")</f>
      </c>
      <c r="K11" s="322">
        <f>IFERROR(INDEX('Registration 2027'!$J$2:$J$45,MATCH(ROW()-1,'Registration 2027'!$U$2:$U$53,0)),"")</f>
      </c>
      <c r="L11" s="184"/>
      <c r="M11" s="340">
        <f t="shared" si="0"/>
      </c>
      <c r="O11" t="s">
        <v>510</v>
      </c>
      <c r="P11" t="s">
        <v>511</v>
      </c>
      <c r="Q11" t="s">
        <v>482</v>
      </c>
      <c r="R11" t="s">
        <v>474</v>
      </c>
    </row>
    <row r="12" spans="1:18">
      <c r="A12" s="184">
        <f>IF($C12="","",IF($D12="Men","M"&amp;COUNTIF($D$2:$D12,"Men"),"W"&amp;COUNTIF($D$2:$D12,"Women")))</f>
      </c>
      <c r="B12" s="184">
        <f>IFERROR(INDEX('Registration 2027'!$A$2:$A$45,MATCH(ROW()-1,'Registration 2027'!$U$2:$U$53,0)),"")</f>
      </c>
      <c r="C12" s="586">
        <f>IF($B12="","",IFERROR(_xlfn.XLOOKUP($B12,TeamStyles[Team Name],TeamStyles[Short Name]),"⚠ add to Team Styles"))</f>
      </c>
      <c r="D12" s="184">
        <f>IFERROR(INDEX('Registration 2027'!$B$2:$B$45,MATCH(ROW()-1,'Registration 2027'!$U$2:$U$53,0)),"")</f>
      </c>
      <c r="E12" s="194" t="s">
        <v>512</v>
      </c>
      <c r="F12" s="586">
        <f>IF($B12="","",IFERROR(_xlfn.XLOOKUP($B12,TeamStyles[Team Name],TeamStyles[Jersey Home]),"⚠ add to Team Styles"))</f>
      </c>
      <c r="G12" s="586">
        <f>IF($B12="","",IFERROR(_xlfn.XLOOKUP($B12,TeamStyles[Team Name],TeamStyles[Jersey Away]),"⚠ add to Team Styles"))</f>
      </c>
      <c r="H12" s="586">
        <f>IFERROR(_xlfn.LET(_xlpm.v,INDEX('Registration 2027'!$K$2:$K$45,MATCH(ROW()-1,'Registration 2027'!$U$2:$U$53,0)),IF(OR(_xlpm.v=0,_xlpm.v=""),"",_xlpm.v)),"")</f>
      </c>
      <c r="I12" s="586">
        <f>IFERROR(_xlfn.LET(_xlpm.v,INDEX('Registration 2027'!$L$2:$L$45,MATCH(ROW()-1,'Registration 2027'!$U$2:$U$53,0)),IF(OR(_xlpm.v=0,_xlpm.v=""),"",_xlpm.v)),"")</f>
      </c>
      <c r="J12" s="586">
        <f>IFERROR(_xlfn.LET(_xlpm.v,INDEX('Registration 2027'!$N$2:$N$45,MATCH(ROW()-1,'Registration 2027'!$U$2:$U$53,0)),IF(OR(_xlpm.v=0,_xlpm.v=""),"",_xlpm.v)),"")</f>
      </c>
      <c r="K12" s="322">
        <f>IFERROR(INDEX('Registration 2027'!$J$2:$J$45,MATCH(ROW()-1,'Registration 2027'!$U$2:$U$53,0)),"")</f>
      </c>
      <c r="L12" s="184"/>
      <c r="M12" s="340">
        <f t="shared" si="0"/>
      </c>
      <c r="O12" t="s">
        <v>513</v>
      </c>
      <c r="P12" t="s">
        <v>514</v>
      </c>
      <c r="Q12" t="s">
        <v>492</v>
      </c>
      <c r="R12" t="s">
        <v>491</v>
      </c>
    </row>
    <row r="13" spans="1:18">
      <c r="A13" s="184">
        <f>IF($C13="","",IF($D13="Men","M"&amp;COUNTIF($D$2:$D13,"Men"),"W"&amp;COUNTIF($D$2:$D13,"Women")))</f>
      </c>
      <c r="B13" s="184">
        <f>IFERROR(INDEX('Registration 2027'!$A$2:$A$45,MATCH(ROW()-1,'Registration 2027'!$U$2:$U$53,0)),"")</f>
      </c>
      <c r="C13" s="586">
        <f>IF($B13="","",IFERROR(_xlfn.XLOOKUP($B13,TeamStyles[Team Name],TeamStyles[Short Name]),"⚠ add to Team Styles"))</f>
      </c>
      <c r="D13" s="184">
        <f>IFERROR(INDEX('Registration 2027'!$B$2:$B$45,MATCH(ROW()-1,'Registration 2027'!$U$2:$U$53,0)),"")</f>
      </c>
      <c r="E13" s="194" t="s">
        <v>515</v>
      </c>
      <c r="F13" s="586">
        <f>IF($B13="","",IFERROR(_xlfn.XLOOKUP($B13,TeamStyles[Team Name],TeamStyles[Jersey Home]),"⚠ add to Team Styles"))</f>
      </c>
      <c r="G13" s="586">
        <f>IF($B13="","",IFERROR(_xlfn.XLOOKUP($B13,TeamStyles[Team Name],TeamStyles[Jersey Away]),"⚠ add to Team Styles"))</f>
      </c>
      <c r="H13" s="586">
        <f>IFERROR(_xlfn.LET(_xlpm.v,INDEX('Registration 2027'!$K$2:$K$45,MATCH(ROW()-1,'Registration 2027'!$U$2:$U$53,0)),IF(OR(_xlpm.v=0,_xlpm.v=""),"",_xlpm.v)),"")</f>
      </c>
      <c r="I13" s="586">
        <f>IFERROR(_xlfn.LET(_xlpm.v,INDEX('Registration 2027'!$L$2:$L$45,MATCH(ROW()-1,'Registration 2027'!$U$2:$U$53,0)),IF(OR(_xlpm.v=0,_xlpm.v=""),"",_xlpm.v)),"")</f>
      </c>
      <c r="J13" s="586">
        <f>IFERROR(_xlfn.LET(_xlpm.v,INDEX('Registration 2027'!$N$2:$N$45,MATCH(ROW()-1,'Registration 2027'!$U$2:$U$53,0)),IF(OR(_xlpm.v=0,_xlpm.v=""),"",_xlpm.v)),"")</f>
      </c>
      <c r="K13" s="322">
        <f>IFERROR(INDEX('Registration 2027'!$J$2:$J$45,MATCH(ROW()-1,'Registration 2027'!$U$2:$U$53,0)),"")</f>
      </c>
      <c r="L13" s="184"/>
      <c r="M13" s="340">
        <f t="shared" si="0"/>
      </c>
      <c r="O13" t="s">
        <v>516</v>
      </c>
      <c r="P13" t="s">
        <v>517</v>
      </c>
      <c r="Q13" t="s">
        <v>518</v>
      </c>
      <c r="R13" t="s">
        <v>474</v>
      </c>
    </row>
    <row r="14" spans="1:18">
      <c r="A14" s="184">
        <f>IF($C14="","",IF($D14="Men","M"&amp;COUNTIF($D$2:$D14,"Men"),"W"&amp;COUNTIF($D$2:$D14,"Women")))</f>
      </c>
      <c r="B14" s="184">
        <f>IFERROR(INDEX('Registration 2027'!$A$2:$A$45,MATCH(ROW()-1,'Registration 2027'!$U$2:$U$53,0)),"")</f>
      </c>
      <c r="C14" s="586">
        <f>IF($B14="","",IFERROR(_xlfn.XLOOKUP($B14,TeamStyles[Team Name],TeamStyles[Short Name]),"⚠ add to Team Styles"))</f>
      </c>
      <c r="D14" s="184">
        <f>IFERROR(INDEX('Registration 2027'!$B$2:$B$45,MATCH(ROW()-1,'Registration 2027'!$U$2:$U$53,0)),"")</f>
      </c>
      <c r="E14" s="194"/>
      <c r="F14" s="586">
        <f>IF($B14="","",IFERROR(_xlfn.XLOOKUP($B14,TeamStyles[Team Name],TeamStyles[Jersey Home]),"⚠ add to Team Styles"))</f>
      </c>
      <c r="G14" s="586">
        <f>IF($B14="","",IFERROR(_xlfn.XLOOKUP($B14,TeamStyles[Team Name],TeamStyles[Jersey Away]),"⚠ add to Team Styles"))</f>
      </c>
      <c r="H14" s="586">
        <f>IFERROR(_xlfn.LET(_xlpm.v,INDEX('Registration 2027'!$K$2:$K$45,MATCH(ROW()-1,'Registration 2027'!$U$2:$U$53,0)),IF(OR(_xlpm.v=0,_xlpm.v=""),"",_xlpm.v)),"")</f>
      </c>
      <c r="I14" s="586">
        <f>IFERROR(_xlfn.LET(_xlpm.v,INDEX('Registration 2027'!$L$2:$L$45,MATCH(ROW()-1,'Registration 2027'!$U$2:$U$53,0)),IF(OR(_xlpm.v=0,_xlpm.v=""),"",_xlpm.v)),"")</f>
      </c>
      <c r="J14" s="586">
        <f>IFERROR(_xlfn.LET(_xlpm.v,INDEX('Registration 2027'!$N$2:$N$45,MATCH(ROW()-1,'Registration 2027'!$U$2:$U$53,0)),IF(OR(_xlpm.v=0,_xlpm.v=""),"",_xlpm.v)),"")</f>
      </c>
      <c r="K14" s="322">
        <f>IFERROR(INDEX('Registration 2027'!$J$2:$J$45,MATCH(ROW()-1,'Registration 2027'!$U$2:$U$53,0)),"")</f>
      </c>
      <c r="L14" s="184"/>
      <c r="M14" s="340">
        <f t="shared" si="0"/>
      </c>
      <c r="O14" t="s">
        <v>519</v>
      </c>
      <c r="P14" t="s">
        <v>520</v>
      </c>
      <c r="Q14" t="s">
        <v>521</v>
      </c>
      <c r="R14" t="s">
        <v>474</v>
      </c>
    </row>
  </sheetData>
  <conditionalFormatting sqref="M2:M14">
    <cfRule type="containsText" dxfId="26" priority="1" operator="containsText" text="DUPLICATE">
      <formula>NOT(ISERROR(SEARCH("DUPLICATE",M2)))</formula>
    </cfRule>
  </conditionalFormatting>
  <pageMargins left="0.7" right="0.7" top="0.75" bottom="0.75" header="0.3" footer="0.3"/>
  <legacyDrawing r:id="rId1"/>
  <tableParts count="2">
    <tablePart r:id="rId2"/>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F4844448-02F1-40A7-9D82-25FDC36BDCD2}">
          <x14:formula1>
            <xm:f>'Group Draw'!$K$17:$K$29</xm:f>
          </x14:formula1>
          <xm:sqref>E2:E14</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F4B40-2B4B-4BAD-BBC6-EB7EE91B8376}">
  <sheetPr>
    <tabColor rgb="FFF4B183"/>
  </sheetPr>
  <dimension ref="A1:U14"/>
  <sheetViews>
    <sheetView workbookViewId="0">
      <selection activeCell="H3" sqref="H3:J11"/>
    </sheetView>
  </sheetViews>
  <sheetFormatPr defaultRowHeight="14.4"/>
  <cols>
    <col min="1" max="1" width="7.6640625" bestFit="1" customWidth="1"/>
    <col min="2" max="2" width="21.33203125" bestFit="1" customWidth="1"/>
    <col min="3" max="3" width="12" bestFit="1" customWidth="1"/>
    <col min="4" max="4" width="29.33203125" bestFit="1" customWidth="1"/>
    <col min="5" max="5" width="12.88671875" bestFit="1" customWidth="1"/>
    <col min="6" max="6" width="18" bestFit="1" customWidth="1"/>
    <col min="7" max="7" width="11.5546875" bestFit="1" customWidth="1"/>
    <col min="8" max="8" width="11.88671875" bestFit="1" customWidth="1"/>
    <col min="9" max="9" width="11.6640625" bestFit="1" customWidth="1"/>
    <col min="10" max="10" width="10.6640625" bestFit="1" customWidth="1"/>
    <col min="11" max="11" width="10.6640625" customWidth="1"/>
    <col min="12" max="12" width="11.5546875" bestFit="1" customWidth="1"/>
    <col min="13" max="13" width="18.109375" bestFit="1" customWidth="1"/>
    <col min="14" max="14" width="8.109375" bestFit="1" customWidth="1"/>
    <col min="15" max="15" width="16.88671875" customWidth="1"/>
    <col min="18" max="18" width="21.33203125" bestFit="1" customWidth="1"/>
    <col min="19" max="19" width="20" bestFit="1" customWidth="1"/>
    <col min="20" max="20" width="42.33203125" bestFit="1" customWidth="1"/>
  </cols>
  <sheetData>
    <row r="1" spans="1:21" ht="18">
      <c r="A1" s="791" t="s">
        <v>522</v>
      </c>
    </row>
    <row r="2" spans="1:21">
      <c r="A2" s="796" t="s">
        <v>523</v>
      </c>
    </row>
    <row r="3" spans="1:21">
      <c r="A3" s="28" t="s">
        <v>524</v>
      </c>
      <c r="B3" s="28" t="s">
        <v>290</v>
      </c>
      <c r="C3" s="28" t="s">
        <v>123</v>
      </c>
      <c r="D3" s="28" t="s">
        <v>525</v>
      </c>
      <c r="E3" s="28" t="s">
        <v>526</v>
      </c>
      <c r="F3" s="28" t="s">
        <v>527</v>
      </c>
      <c r="G3" s="28" t="s">
        <v>528</v>
      </c>
      <c r="H3" s="28" t="s">
        <v>529</v>
      </c>
      <c r="I3" s="28" t="s">
        <v>530</v>
      </c>
      <c r="J3" s="28" t="s">
        <v>531</v>
      </c>
      <c r="K3" s="28" t="s">
        <v>532</v>
      </c>
      <c r="L3" s="28" t="s">
        <v>533</v>
      </c>
      <c r="M3" s="28" t="s">
        <v>534</v>
      </c>
      <c r="N3" s="158" t="s">
        <v>535</v>
      </c>
      <c r="O3" s="564" t="s">
        <v>536</v>
      </c>
      <c r="R3" s="317" t="s">
        <v>537</v>
      </c>
      <c r="S3" s="317" t="s">
        <v>538</v>
      </c>
      <c r="T3" s="317" t="s">
        <v>539</v>
      </c>
      <c r="U3" s="634" t="s">
        <v>540</v>
      </c>
    </row>
    <row r="4" spans="1:21">
      <c r="A4" s="184" t="s">
        <v>541</v>
      </c>
      <c r="B4" s="236" t="s">
        <v>542</v>
      </c>
      <c r="C4" s="236" t="s">
        <v>543</v>
      </c>
      <c r="D4" s="184" t="s">
        <v>544</v>
      </c>
      <c r="E4" s="184" t="s">
        <v>545</v>
      </c>
      <c r="F4" s="184" t="s">
        <v>546</v>
      </c>
      <c r="G4" s="236" t="s">
        <v>547</v>
      </c>
      <c r="H4" s="185"/>
      <c r="I4" s="185"/>
      <c r="J4" s="185"/>
      <c r="K4" s="185"/>
      <c r="L4" s="231">
        <f>SUM(H4:K4)</f>
      </c>
      <c r="M4" t="s">
        <v>548</v>
      </c>
      <c r="N4" s="20">
        <f t="shared" ref="N4:N13" si="0">ROUNDUP((ROW()-1)/2,0)</f>
      </c>
      <c r="O4" s="596" t="s">
        <v>549</v>
      </c>
      <c r="R4" s="609">
        <f>B4</f>
      </c>
      <c r="S4" s="609">
        <f>B5</f>
      </c>
      <c r="T4" s="194">
        <f>R4&amp;" / "&amp;S4</f>
      </c>
      <c r="U4" s="527">
        <f>IF(COUNTIFS($N$4:$N$13,ROW()-2,$O$4:$O$13,"Yes")&gt;0,"Yes","No")</f>
      </c>
    </row>
    <row r="5" spans="1:21">
      <c r="A5" s="184" t="s">
        <v>550</v>
      </c>
      <c r="B5" s="236" t="s">
        <v>551</v>
      </c>
      <c r="C5" s="236" t="s">
        <v>543</v>
      </c>
      <c r="D5" s="184" t="s">
        <v>552</v>
      </c>
      <c r="E5" s="184" t="s">
        <v>553</v>
      </c>
      <c r="F5" s="184" t="s">
        <v>554</v>
      </c>
      <c r="G5" s="236" t="s">
        <v>547</v>
      </c>
      <c r="H5" s="341"/>
      <c r="I5" s="341"/>
      <c r="J5" s="341"/>
      <c r="K5" s="341"/>
      <c r="L5" s="231">
        <f t="shared" ref="L5:L13" si="1">SUM(H5:K5)</f>
      </c>
      <c r="M5" t="s">
        <v>548</v>
      </c>
      <c r="N5" s="20">
        <f t="shared" si="0"/>
      </c>
      <c r="O5" s="596" t="s">
        <v>549</v>
      </c>
      <c r="R5" s="609">
        <f>B6</f>
      </c>
      <c r="S5" s="609">
        <f>B7</f>
      </c>
      <c r="T5" s="194">
        <f>R5&amp;" / "&amp;S5</f>
      </c>
      <c r="U5" s="527">
        <f t="shared" ref="U5:U8" si="2">IF(COUNTIFS($N$4:$N$13,ROW()-2,$O$4:$O$13,"Yes")&gt;0,"Yes","No")</f>
      </c>
    </row>
    <row r="6" spans="1:21">
      <c r="A6" s="184" t="s">
        <v>555</v>
      </c>
      <c r="B6" s="184" t="s">
        <v>556</v>
      </c>
      <c r="C6" s="236" t="s">
        <v>557</v>
      </c>
      <c r="D6" s="184" t="s">
        <v>558</v>
      </c>
      <c r="E6" s="184" t="s">
        <v>559</v>
      </c>
      <c r="F6" s="319" t="s">
        <v>560</v>
      </c>
      <c r="G6" s="184" t="s">
        <v>561</v>
      </c>
      <c r="H6" s="341"/>
      <c r="I6" s="341"/>
      <c r="J6" s="341"/>
      <c r="K6" s="341"/>
      <c r="L6" s="231">
        <f t="shared" si="1"/>
      </c>
      <c r="M6" t="s">
        <v>562</v>
      </c>
      <c r="N6" s="20">
        <f t="shared" si="0"/>
      </c>
      <c r="O6" s="596" t="s">
        <v>549</v>
      </c>
      <c r="R6" s="609">
        <f>B8</f>
      </c>
      <c r="S6" s="609">
        <f>B9</f>
      </c>
      <c r="T6" s="194">
        <f>R6&amp;" / "&amp;S6</f>
      </c>
      <c r="U6" s="527">
        <f t="shared" si="2"/>
      </c>
    </row>
    <row r="7" spans="1:21">
      <c r="A7" s="184" t="s">
        <v>563</v>
      </c>
      <c r="B7" s="184" t="s">
        <v>564</v>
      </c>
      <c r="C7" s="236" t="s">
        <v>557</v>
      </c>
      <c r="D7" s="184" t="s">
        <v>565</v>
      </c>
      <c r="E7" s="184" t="s">
        <v>566</v>
      </c>
      <c r="F7" s="184" t="s">
        <v>567</v>
      </c>
      <c r="G7" s="184" t="s">
        <v>561</v>
      </c>
      <c r="H7" s="341"/>
      <c r="I7" s="341"/>
      <c r="J7" s="341"/>
      <c r="K7" s="341"/>
      <c r="L7" s="231">
        <f t="shared" si="1"/>
      </c>
      <c r="M7" t="s">
        <v>562</v>
      </c>
      <c r="N7" s="20">
        <f t="shared" si="0"/>
      </c>
      <c r="O7" s="596" t="s">
        <v>549</v>
      </c>
      <c r="R7" s="609">
        <f>B10</f>
      </c>
      <c r="S7" s="609">
        <f>B11</f>
      </c>
      <c r="T7" s="194">
        <f>R7&amp;" / "&amp;S7</f>
      </c>
      <c r="U7" s="527">
        <f t="shared" si="2"/>
      </c>
    </row>
    <row r="8" spans="1:21">
      <c r="A8" s="184" t="s">
        <v>568</v>
      </c>
      <c r="B8" s="184" t="s">
        <v>569</v>
      </c>
      <c r="C8" s="236" t="s">
        <v>557</v>
      </c>
      <c r="D8" s="184" t="s">
        <v>570</v>
      </c>
      <c r="E8" s="184" t="s">
        <v>571</v>
      </c>
      <c r="F8" s="184" t="s">
        <v>572</v>
      </c>
      <c r="G8" s="184" t="s">
        <v>561</v>
      </c>
      <c r="H8" s="341"/>
      <c r="I8" s="341"/>
      <c r="J8" s="341"/>
      <c r="K8" s="341"/>
      <c r="L8" s="231">
        <f t="shared" si="1"/>
      </c>
      <c r="M8" t="s">
        <v>573</v>
      </c>
      <c r="N8" s="20">
        <f t="shared" si="0"/>
      </c>
      <c r="O8" s="596" t="s">
        <v>549</v>
      </c>
      <c r="R8" s="609">
        <f>B12</f>
      </c>
      <c r="S8" s="609">
        <f>B13</f>
      </c>
      <c r="T8" s="194">
        <f>R8&amp;" / "&amp;S8</f>
      </c>
      <c r="U8" s="527">
        <f t="shared" si="2"/>
      </c>
    </row>
    <row r="9" spans="1:21">
      <c r="A9" s="184" t="s">
        <v>574</v>
      </c>
      <c r="B9" s="184" t="s">
        <v>575</v>
      </c>
      <c r="C9" s="236" t="s">
        <v>557</v>
      </c>
      <c r="D9" s="184" t="s">
        <v>576</v>
      </c>
      <c r="E9" s="184" t="s">
        <v>577</v>
      </c>
      <c r="F9" s="184" t="s">
        <v>578</v>
      </c>
      <c r="G9" s="184" t="s">
        <v>561</v>
      </c>
      <c r="H9" s="341"/>
      <c r="I9" s="341"/>
      <c r="J9" s="341"/>
      <c r="K9" s="341"/>
      <c r="L9" s="231">
        <f t="shared" si="1"/>
      </c>
      <c r="M9" t="s">
        <v>573</v>
      </c>
      <c r="N9" s="20">
        <f t="shared" si="0"/>
      </c>
      <c r="O9" s="596" t="s">
        <v>549</v>
      </c>
    </row>
    <row r="10" spans="1:21">
      <c r="A10" s="184" t="s">
        <v>579</v>
      </c>
      <c r="B10" s="184" t="s">
        <v>580</v>
      </c>
      <c r="C10" s="236" t="s">
        <v>557</v>
      </c>
      <c r="D10" s="184" t="s">
        <v>581</v>
      </c>
      <c r="E10" s="184" t="s">
        <v>582</v>
      </c>
      <c r="F10" s="184" t="s">
        <v>583</v>
      </c>
      <c r="G10" s="184" t="s">
        <v>584</v>
      </c>
      <c r="H10" s="341"/>
      <c r="I10" s="341"/>
      <c r="J10" s="341"/>
      <c r="K10" s="341"/>
      <c r="L10" s="231">
        <f t="shared" si="1"/>
      </c>
      <c r="N10" s="20">
        <f t="shared" si="0"/>
      </c>
      <c r="O10" s="596" t="s">
        <v>585</v>
      </c>
    </row>
    <row r="11" spans="1:21">
      <c r="A11" s="184" t="s">
        <v>586</v>
      </c>
      <c r="B11" s="184" t="s">
        <v>587</v>
      </c>
      <c r="C11" s="236" t="s">
        <v>557</v>
      </c>
      <c r="D11" s="184" t="s">
        <v>588</v>
      </c>
      <c r="E11" s="184" t="s">
        <v>589</v>
      </c>
      <c r="F11" s="184" t="s">
        <v>590</v>
      </c>
      <c r="G11" s="184" t="s">
        <v>584</v>
      </c>
      <c r="H11" s="341"/>
      <c r="I11" s="341"/>
      <c r="J11" s="341"/>
      <c r="K11" s="341"/>
      <c r="L11" s="231">
        <f t="shared" si="1"/>
      </c>
      <c r="N11" s="20">
        <f t="shared" si="0"/>
      </c>
      <c r="O11" s="596" t="s">
        <v>585</v>
      </c>
    </row>
    <row r="12" spans="1:21">
      <c r="A12" s="184" t="s">
        <v>591</v>
      </c>
      <c r="B12" s="184" t="s">
        <v>592</v>
      </c>
      <c r="C12" s="236" t="s">
        <v>557</v>
      </c>
      <c r="D12" s="184" t="s">
        <v>593</v>
      </c>
      <c r="E12" s="184" t="s">
        <v>594</v>
      </c>
      <c r="F12" s="184" t="s">
        <v>595</v>
      </c>
      <c r="G12" s="184" t="s">
        <v>561</v>
      </c>
      <c r="H12" s="185"/>
      <c r="I12" s="185"/>
      <c r="J12" s="185"/>
      <c r="K12" s="185"/>
      <c r="L12" s="231">
        <f t="shared" si="1"/>
      </c>
      <c r="N12" s="20">
        <f t="shared" si="0"/>
      </c>
      <c r="O12" s="596" t="s">
        <v>549</v>
      </c>
    </row>
    <row r="13" spans="1:21">
      <c r="A13" s="184" t="s">
        <v>596</v>
      </c>
      <c r="B13" s="184" t="s">
        <v>597</v>
      </c>
      <c r="C13" s="236" t="s">
        <v>557</v>
      </c>
      <c r="D13" s="184" t="s">
        <v>598</v>
      </c>
      <c r="E13" s="184" t="s">
        <v>599</v>
      </c>
      <c r="F13" s="184" t="s">
        <v>600</v>
      </c>
      <c r="G13" s="184" t="s">
        <v>561</v>
      </c>
      <c r="H13" s="185"/>
      <c r="I13" s="185"/>
      <c r="J13" s="185"/>
      <c r="K13" s="185"/>
      <c r="L13" s="231">
        <f t="shared" si="1"/>
      </c>
      <c r="N13" s="20">
        <f t="shared" si="0"/>
      </c>
      <c r="O13" s="596" t="s">
        <v>549</v>
      </c>
    </row>
    <row r="14" spans="1:21">
      <c r="A14" s="236"/>
      <c r="B14" s="236"/>
      <c r="C14" s="236"/>
      <c r="D14" s="236"/>
      <c r="E14" s="236"/>
      <c r="F14" s="236"/>
      <c r="G14" s="236"/>
      <c r="H14" s="245">
        <f>SUBTOTAL(109,RefereesMaster[Flight Cost])</f>
      </c>
      <c r="I14" s="245">
        <f>SUBTOTAL(109,RefereesMaster[Hotel Cost])</f>
      </c>
      <c r="J14" s="245">
        <f>SUBTOTAL(109,RefereesMaster[Per Diem])</f>
      </c>
      <c r="K14" s="608"/>
      <c r="L14" s="245">
        <f>SUBTOTAL(109,RefereesMaster[Total Cost])</f>
      </c>
    </row>
  </sheetData>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64510-3F65-450C-8CF3-BA937930A9B2}">
  <sheetPr>
    <tabColor rgb="FFF4B183"/>
  </sheetPr>
  <dimension ref="A1:F11"/>
  <sheetViews>
    <sheetView workbookViewId="0">
      <selection activeCell="D6" sqref="D6"/>
    </sheetView>
  </sheetViews>
  <sheetFormatPr defaultRowHeight="14.4"/>
  <cols>
    <col min="1" max="1" width="30.5546875" bestFit="1" customWidth="1"/>
    <col min="2" max="2" width="11.109375" bestFit="1" customWidth="1"/>
    <col min="5" max="5" width="10.5546875" bestFit="1" customWidth="1"/>
    <col min="6" max="6" width="14.6640625" bestFit="1" customWidth="1"/>
  </cols>
  <sheetData>
    <row r="1" spans="1:6" ht="18">
      <c r="A1" s="262" t="s">
        <v>601</v>
      </c>
    </row>
    <row r="2" spans="1:6">
      <c r="A2" s="797" t="s">
        <v>602</v>
      </c>
    </row>
    <row r="3" spans="1:6">
      <c r="A3" s="238" t="s">
        <v>603</v>
      </c>
      <c r="B3" s="501">
        <v>40</v>
      </c>
    </row>
    <row r="5" spans="1:6">
      <c r="A5" s="257" t="s">
        <v>604</v>
      </c>
      <c r="B5" s="257" t="s">
        <v>290</v>
      </c>
      <c r="C5" s="257" t="s">
        <v>605</v>
      </c>
      <c r="D5" s="257" t="s">
        <v>606</v>
      </c>
      <c r="E5" s="257" t="s">
        <v>607</v>
      </c>
      <c r="F5" s="257" t="s">
        <v>608</v>
      </c>
    </row>
    <row r="6" spans="1:6">
      <c r="A6" t="s">
        <v>609</v>
      </c>
      <c r="B6" s="330" t="s">
        <v>610</v>
      </c>
      <c r="C6" s="522" cm="1">
        <f t="array" ref="C6">SUMPRODUCT(('Games Schedule'!$AA$5:$AA$31=$B6)*IFERROR('Games Schedule'!$H$5:$H$31-'Games Schedule'!$D$5:$D$31,0))*24</f>
      </c>
      <c r="D6" s="245">
        <f>$B$3</f>
      </c>
      <c r="E6" s="245">
        <f>C6*D6</f>
      </c>
      <c r="F6" s="330" t="s">
        <v>611</v>
      </c>
    </row>
    <row r="7" spans="1:6">
      <c r="A7" t="s">
        <v>612</v>
      </c>
      <c r="B7" s="330" t="s">
        <v>613</v>
      </c>
      <c r="C7" s="522" cm="1">
        <f t="array" ref="C7">SUMPRODUCT(('Games Schedule'!$AA$5:$AA$31=$B7)*IFERROR('Games Schedule'!$H$5:$H$31-'Games Schedule'!$D$5:$D$31,0))*24</f>
      </c>
      <c r="D7" s="245">
        <f>$B$3</f>
      </c>
      <c r="E7" s="245">
        <f>C7*D7</f>
      </c>
      <c r="F7" s="330" t="s">
        <v>614</v>
      </c>
    </row>
    <row r="8" spans="1:6">
      <c r="A8" t="s">
        <v>615</v>
      </c>
      <c r="B8" s="330" t="s">
        <v>616</v>
      </c>
      <c r="C8" s="522" cm="1">
        <f t="array" ref="C8">SUMPRODUCT(('Games Schedule'!$AA$5:$AA$31=$B8)*IFERROR('Games Schedule'!$H$5:$H$31-'Games Schedule'!$D$5:$D$31,0))*24</f>
      </c>
      <c r="D8" s="245">
        <f>$B$3</f>
      </c>
      <c r="E8" s="245">
        <f>C8*D8</f>
      </c>
      <c r="F8" s="330" t="s">
        <v>617</v>
      </c>
    </row>
    <row r="9" spans="1:6">
      <c r="A9" t="s">
        <v>618</v>
      </c>
      <c r="B9" s="330" t="s">
        <v>619</v>
      </c>
      <c r="C9" s="522" cm="1">
        <f t="array" ref="C9">SUMPRODUCT(('Games Schedule'!$AA$5:$AA$31=$B9)*IFERROR('Games Schedule'!$H$5:$H$31-'Games Schedule'!$D$5:$D$31,0))*24</f>
      </c>
      <c r="D9" s="245">
        <f>$B$3</f>
      </c>
      <c r="E9" s="245">
        <f>C9*D9</f>
      </c>
      <c r="F9" s="330" t="s">
        <v>620</v>
      </c>
    </row>
    <row r="11" spans="1:6">
      <c r="A11" s="238" t="s">
        <v>621</v>
      </c>
      <c r="E11" s="502">
        <f>SUM(E6:E9)</f>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CAC4-0AA2-4815-8E44-D184FFB26634}">
  <sheetPr>
    <tabColor rgb="FFF4B183"/>
  </sheetPr>
  <dimension ref="A1:G30"/>
  <sheetViews>
    <sheetView topLeftCell="A14" workbookViewId="0">
      <selection activeCell="I9" sqref="I9"/>
    </sheetView>
  </sheetViews>
  <sheetFormatPr defaultRowHeight="14.4"/>
  <cols>
    <col min="1" max="1" width="11.6640625" bestFit="1" customWidth="1"/>
    <col min="2" max="2" width="39.33203125" bestFit="1" customWidth="1"/>
    <col min="3" max="3" width="11.44140625" bestFit="1" customWidth="1"/>
    <col min="4" max="4" width="7.88671875" bestFit="1" customWidth="1"/>
    <col min="5" max="5" width="11.33203125" bestFit="1" customWidth="1"/>
    <col min="6" max="6" width="12.88671875" bestFit="1" customWidth="1"/>
    <col min="7" max="7" width="14.33203125" bestFit="1" customWidth="1"/>
  </cols>
  <sheetData>
    <row r="1" spans="1:7" ht="18">
      <c r="A1" s="791" t="s">
        <v>622</v>
      </c>
    </row>
    <row r="2" spans="1:7">
      <c r="A2" s="796" t="s">
        <v>623</v>
      </c>
    </row>
    <row r="3" spans="1:7">
      <c r="A3" s="28" t="s">
        <v>624</v>
      </c>
      <c r="B3" s="28" t="s">
        <v>625</v>
      </c>
      <c r="C3" s="28" t="s">
        <v>122</v>
      </c>
      <c r="D3" s="28" t="s">
        <v>626</v>
      </c>
      <c r="E3" s="28" t="s">
        <v>627</v>
      </c>
      <c r="F3" s="28" t="s">
        <v>628</v>
      </c>
      <c r="G3" s="28" t="s">
        <v>629</v>
      </c>
    </row>
    <row r="4" spans="1:7">
      <c r="A4" s="184" t="s">
        <v>630</v>
      </c>
      <c r="B4" s="184" t="s">
        <v>631</v>
      </c>
      <c r="C4" s="184" t="s">
        <v>632</v>
      </c>
      <c r="D4" s="341">
        <v>0.58</v>
      </c>
      <c r="E4" s="341">
        <v>2.25</v>
      </c>
      <c r="F4" s="231">
        <f t="shared" ref="F4:F30" si="0">E4-D4</f>
      </c>
      <c r="G4" s="232">
        <f t="shared" ref="G4:G30" si="1">IF(E4=0,0,F4/E4)</f>
      </c>
    </row>
    <row r="5" spans="1:7">
      <c r="A5" s="184" t="s">
        <v>633</v>
      </c>
      <c r="B5" s="184" t="s">
        <v>634</v>
      </c>
      <c r="C5" s="184" t="s">
        <v>632</v>
      </c>
      <c r="D5" s="341">
        <v>0.95</v>
      </c>
      <c r="E5" s="341">
        <v>2.25</v>
      </c>
      <c r="F5" s="231">
        <f t="shared" si="0"/>
      </c>
      <c r="G5" s="232">
        <f t="shared" si="1"/>
      </c>
    </row>
    <row r="6" spans="1:7">
      <c r="A6" s="184" t="s">
        <v>635</v>
      </c>
      <c r="B6" s="184" t="s">
        <v>636</v>
      </c>
      <c r="C6" s="184" t="s">
        <v>632</v>
      </c>
      <c r="D6" s="341">
        <v>0.5</v>
      </c>
      <c r="E6" s="341">
        <v>1.75</v>
      </c>
      <c r="F6" s="231">
        <f t="shared" si="0"/>
      </c>
      <c r="G6" s="232">
        <f t="shared" si="1"/>
      </c>
    </row>
    <row r="7" spans="1:7">
      <c r="A7" s="184" t="s">
        <v>637</v>
      </c>
      <c r="B7" s="184" t="s">
        <v>638</v>
      </c>
      <c r="C7" s="184" t="s">
        <v>632</v>
      </c>
      <c r="D7" s="341">
        <v>0.9</v>
      </c>
      <c r="E7" s="341">
        <v>2.75</v>
      </c>
      <c r="F7" s="231">
        <f t="shared" si="0"/>
      </c>
      <c r="G7" s="232">
        <f t="shared" si="1"/>
      </c>
    </row>
    <row r="8" spans="1:7">
      <c r="A8" s="184" t="s">
        <v>639</v>
      </c>
      <c r="B8" s="184" t="s">
        <v>640</v>
      </c>
      <c r="C8" s="184" t="s">
        <v>632</v>
      </c>
      <c r="D8" s="341">
        <v>1.8</v>
      </c>
      <c r="E8" s="341">
        <v>4</v>
      </c>
      <c r="F8" s="231">
        <f t="shared" si="0"/>
      </c>
      <c r="G8" s="232">
        <f t="shared" si="1"/>
      </c>
    </row>
    <row r="9" spans="1:7">
      <c r="A9" s="184" t="s">
        <v>641</v>
      </c>
      <c r="B9" s="184" t="s">
        <v>642</v>
      </c>
      <c r="C9" s="184" t="s">
        <v>643</v>
      </c>
      <c r="D9" s="341">
        <v>2.2</v>
      </c>
      <c r="E9" s="341">
        <v>6</v>
      </c>
      <c r="F9" s="231">
        <f t="shared" si="0"/>
      </c>
      <c r="G9" s="232">
        <f t="shared" si="1"/>
      </c>
    </row>
    <row r="10" spans="1:7">
      <c r="A10" s="184" t="s">
        <v>644</v>
      </c>
      <c r="B10" s="184" t="s">
        <v>645</v>
      </c>
      <c r="C10" s="184" t="s">
        <v>643</v>
      </c>
      <c r="D10" s="341">
        <v>1.9</v>
      </c>
      <c r="E10" s="341">
        <v>5</v>
      </c>
      <c r="F10" s="231">
        <f t="shared" si="0"/>
      </c>
      <c r="G10" s="232">
        <f t="shared" si="1"/>
      </c>
    </row>
    <row r="11" spans="1:7">
      <c r="A11" s="184" t="s">
        <v>646</v>
      </c>
      <c r="B11" s="184" t="s">
        <v>647</v>
      </c>
      <c r="C11" s="184" t="s">
        <v>648</v>
      </c>
      <c r="D11" s="341">
        <v>3.1</v>
      </c>
      <c r="E11" s="341">
        <v>7.5</v>
      </c>
      <c r="F11" s="231">
        <f t="shared" si="0"/>
      </c>
      <c r="G11" s="232">
        <f t="shared" si="1"/>
      </c>
    </row>
    <row r="12" spans="1:7">
      <c r="A12" s="184" t="s">
        <v>649</v>
      </c>
      <c r="B12" s="184" t="s">
        <v>650</v>
      </c>
      <c r="C12" s="184" t="s">
        <v>648</v>
      </c>
      <c r="D12" s="341">
        <v>2.9</v>
      </c>
      <c r="E12" s="341">
        <v>6.5</v>
      </c>
      <c r="F12" s="231">
        <f t="shared" si="0"/>
      </c>
      <c r="G12" s="232">
        <f t="shared" si="1"/>
      </c>
    </row>
    <row r="13" spans="1:7">
      <c r="A13" s="184" t="s">
        <v>651</v>
      </c>
      <c r="B13" s="184" t="s">
        <v>652</v>
      </c>
      <c r="C13" s="184" t="s">
        <v>643</v>
      </c>
      <c r="D13" s="341">
        <v>1.4</v>
      </c>
      <c r="E13" s="341">
        <v>3.5</v>
      </c>
      <c r="F13" s="231">
        <f t="shared" si="0"/>
      </c>
      <c r="G13" s="232">
        <f t="shared" si="1"/>
      </c>
    </row>
    <row r="14" spans="1:7">
      <c r="A14" s="184" t="s">
        <v>653</v>
      </c>
      <c r="B14" s="184" t="s">
        <v>654</v>
      </c>
      <c r="C14" s="184" t="s">
        <v>643</v>
      </c>
      <c r="D14" s="341">
        <v>1.6</v>
      </c>
      <c r="E14" s="341">
        <v>4.5</v>
      </c>
      <c r="F14" s="231">
        <f t="shared" si="0"/>
      </c>
      <c r="G14" s="232">
        <f t="shared" si="1"/>
      </c>
    </row>
    <row r="15" spans="1:7">
      <c r="A15" s="184" t="s">
        <v>655</v>
      </c>
      <c r="B15" s="184" t="s">
        <v>656</v>
      </c>
      <c r="C15" s="184" t="s">
        <v>643</v>
      </c>
      <c r="D15" s="341">
        <v>0.8</v>
      </c>
      <c r="E15" s="341">
        <v>2.25</v>
      </c>
      <c r="F15" s="231">
        <f t="shared" si="0"/>
      </c>
      <c r="G15" s="232">
        <f t="shared" si="1"/>
      </c>
    </row>
    <row r="16" spans="1:7">
      <c r="A16" s="184" t="s">
        <v>657</v>
      </c>
      <c r="B16" s="184" t="s">
        <v>658</v>
      </c>
      <c r="C16" s="184" t="s">
        <v>643</v>
      </c>
      <c r="D16" s="341">
        <v>1.6</v>
      </c>
      <c r="E16" s="341">
        <v>4</v>
      </c>
      <c r="F16" s="231">
        <f t="shared" si="0"/>
      </c>
      <c r="G16" s="232">
        <f t="shared" si="1"/>
      </c>
    </row>
    <row r="17" spans="1:7">
      <c r="A17" s="184" t="s">
        <v>659</v>
      </c>
      <c r="B17" s="184" t="s">
        <v>660</v>
      </c>
      <c r="C17" s="184" t="s">
        <v>643</v>
      </c>
      <c r="D17" s="341">
        <v>0.28</v>
      </c>
      <c r="E17" s="341">
        <v>1</v>
      </c>
      <c r="F17" s="231">
        <f t="shared" si="0"/>
      </c>
      <c r="G17" s="232">
        <f t="shared" si="1"/>
      </c>
    </row>
    <row r="18" spans="1:7">
      <c r="A18" s="184" t="s">
        <v>661</v>
      </c>
      <c r="B18" s="184" t="s">
        <v>662</v>
      </c>
      <c r="C18" s="184" t="s">
        <v>648</v>
      </c>
      <c r="D18" s="341">
        <v>2.1</v>
      </c>
      <c r="E18" s="341">
        <v>5</v>
      </c>
      <c r="F18" s="231">
        <f t="shared" si="0"/>
      </c>
      <c r="G18" s="232">
        <f t="shared" si="1"/>
      </c>
    </row>
    <row r="19" spans="1:7">
      <c r="A19" s="184" t="s">
        <v>663</v>
      </c>
      <c r="B19" s="184" t="s">
        <v>664</v>
      </c>
      <c r="C19" s="184" t="s">
        <v>665</v>
      </c>
      <c r="D19" s="341">
        <v>11</v>
      </c>
      <c r="E19" s="341">
        <v>24</v>
      </c>
      <c r="F19" s="231">
        <f t="shared" si="0"/>
      </c>
      <c r="G19" s="232">
        <f t="shared" si="1"/>
      </c>
    </row>
    <row r="20" spans="1:7">
      <c r="A20" s="184" t="s">
        <v>666</v>
      </c>
      <c r="B20" s="184" t="s">
        <v>667</v>
      </c>
      <c r="C20" s="184" t="s">
        <v>665</v>
      </c>
      <c r="D20" s="341">
        <v>11</v>
      </c>
      <c r="E20" s="341">
        <v>24</v>
      </c>
      <c r="F20" s="231">
        <f t="shared" si="0"/>
      </c>
      <c r="G20" s="232">
        <f t="shared" si="1"/>
      </c>
    </row>
    <row r="21" spans="1:7">
      <c r="A21" s="184" t="s">
        <v>668</v>
      </c>
      <c r="B21" s="184" t="s">
        <v>669</v>
      </c>
      <c r="C21" s="184" t="s">
        <v>665</v>
      </c>
      <c r="D21" s="341">
        <v>27</v>
      </c>
      <c r="E21" s="341">
        <v>58</v>
      </c>
      <c r="F21" s="231">
        <f t="shared" si="0"/>
      </c>
      <c r="G21" s="232">
        <f t="shared" si="1"/>
      </c>
    </row>
    <row r="22" spans="1:7">
      <c r="A22" s="184" t="s">
        <v>670</v>
      </c>
      <c r="B22" s="184" t="s">
        <v>671</v>
      </c>
      <c r="C22" s="184" t="s">
        <v>665</v>
      </c>
      <c r="D22" s="341">
        <v>27</v>
      </c>
      <c r="E22" s="341">
        <v>58</v>
      </c>
      <c r="F22" s="231">
        <f t="shared" si="0"/>
      </c>
      <c r="G22" s="232">
        <f t="shared" si="1"/>
      </c>
    </row>
    <row r="23" spans="1:7">
      <c r="A23" s="184" t="s">
        <v>672</v>
      </c>
      <c r="B23" s="184" t="s">
        <v>673</v>
      </c>
      <c r="C23" s="184" t="s">
        <v>665</v>
      </c>
      <c r="D23" s="341">
        <v>16</v>
      </c>
      <c r="E23" s="341">
        <v>35</v>
      </c>
      <c r="F23" s="231">
        <f t="shared" si="0"/>
      </c>
      <c r="G23" s="232">
        <f t="shared" si="1"/>
      </c>
    </row>
    <row r="24" spans="1:7">
      <c r="A24" s="184" t="s">
        <v>674</v>
      </c>
      <c r="B24" s="184" t="s">
        <v>675</v>
      </c>
      <c r="C24" s="184" t="s">
        <v>665</v>
      </c>
      <c r="D24" s="341">
        <v>13</v>
      </c>
      <c r="E24" s="341">
        <v>24</v>
      </c>
      <c r="F24" s="231">
        <f t="shared" si="0"/>
      </c>
      <c r="G24" s="232">
        <f t="shared" si="1"/>
      </c>
    </row>
    <row r="25" spans="1:7">
      <c r="A25" s="184" t="s">
        <v>676</v>
      </c>
      <c r="B25" s="184" t="s">
        <v>677</v>
      </c>
      <c r="C25" s="184" t="s">
        <v>665</v>
      </c>
      <c r="D25" s="341">
        <v>13</v>
      </c>
      <c r="E25" s="341">
        <v>28</v>
      </c>
      <c r="F25" s="231">
        <f t="shared" si="0"/>
      </c>
      <c r="G25" s="232">
        <f t="shared" si="1"/>
      </c>
    </row>
    <row r="26" spans="1:7">
      <c r="A26" s="184" t="s">
        <v>678</v>
      </c>
      <c r="B26" s="184" t="s">
        <v>679</v>
      </c>
      <c r="C26" s="184" t="s">
        <v>665</v>
      </c>
      <c r="D26" s="341">
        <v>9</v>
      </c>
      <c r="E26" s="341">
        <v>22</v>
      </c>
      <c r="F26" s="231">
        <f t="shared" si="0"/>
      </c>
      <c r="G26" s="232">
        <f t="shared" si="1"/>
      </c>
    </row>
    <row r="27" spans="1:7">
      <c r="A27" s="184" t="s">
        <v>680</v>
      </c>
      <c r="B27" s="184" t="s">
        <v>681</v>
      </c>
      <c r="C27" s="184" t="s">
        <v>665</v>
      </c>
      <c r="D27" s="341">
        <v>27</v>
      </c>
      <c r="E27" s="341">
        <v>55</v>
      </c>
      <c r="F27" s="231">
        <f t="shared" si="0"/>
      </c>
      <c r="G27" s="232">
        <f t="shared" si="1"/>
      </c>
    </row>
    <row r="28" spans="1:7">
      <c r="A28" s="184" t="s">
        <v>682</v>
      </c>
      <c r="B28" s="184" t="s">
        <v>683</v>
      </c>
      <c r="C28" s="184" t="s">
        <v>665</v>
      </c>
      <c r="D28" s="341">
        <v>38</v>
      </c>
      <c r="E28" s="341">
        <v>75</v>
      </c>
      <c r="F28" s="231">
        <f t="shared" si="0"/>
      </c>
      <c r="G28" s="232">
        <f t="shared" si="1"/>
      </c>
    </row>
    <row r="29" spans="1:7">
      <c r="A29" s="184" t="s">
        <v>684</v>
      </c>
      <c r="B29" s="184" t="s">
        <v>685</v>
      </c>
      <c r="C29" s="184" t="s">
        <v>665</v>
      </c>
      <c r="D29" s="341">
        <v>13</v>
      </c>
      <c r="E29" s="341">
        <v>30</v>
      </c>
      <c r="F29" s="231">
        <f t="shared" si="0"/>
      </c>
      <c r="G29" s="232">
        <f t="shared" si="1"/>
      </c>
    </row>
    <row r="30" spans="1:7">
      <c r="A30" s="184" t="s">
        <v>686</v>
      </c>
      <c r="B30" s="184" t="s">
        <v>687</v>
      </c>
      <c r="C30" s="184" t="s">
        <v>665</v>
      </c>
      <c r="D30" s="341">
        <v>19</v>
      </c>
      <c r="E30" s="341">
        <v>40</v>
      </c>
      <c r="F30" s="231">
        <f t="shared" si="0"/>
      </c>
      <c r="G30" s="232">
        <f t="shared" si="1"/>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F7B97-EFCF-43D0-AF6C-4A411B88B9C8}">
  <sheetPr>
    <tabColor rgb="FFBF8F00"/>
  </sheetPr>
  <dimension ref="A1"/>
  <sheetViews>
    <sheetView workbookViewId="0"/>
  </sheetViews>
  <sheetFormatPr defaultRowHeight="14.4"/>
  <sheetData>
    <row r="1" spans="1:1" ht="23.4">
      <c r="A1" s="156" t="s">
        <v>26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DFB2C-E360-42DC-B7DF-00B43DE02997}">
  <sheetPr>
    <tabColor rgb="FFFFD966"/>
  </sheetPr>
  <dimension ref="A1:U56"/>
  <sheetViews>
    <sheetView zoomScaleNormal="100" workbookViewId="0">
      <pane xSplit="1" ySplit="1" topLeftCell="B26" activePane="bottomRight" state="frozen"/>
      <selection pane="topRight" activeCell="B1" sqref="B1"/>
      <selection pane="bottomLeft" activeCell="A2" sqref="A2"/>
      <selection pane="bottomRight" activeCell="B2" sqref="B2"/>
    </sheetView>
  </sheetViews>
  <sheetFormatPr defaultRowHeight="14.4"/>
  <cols>
    <col min="1" max="1" width="22.44140625" bestFit="1" customWidth="1"/>
    <col min="2" max="2" width="9.6640625" bestFit="1" customWidth="1"/>
    <col min="3" max="3" width="15.6640625" bestFit="1" customWidth="1"/>
    <col min="4" max="4" width="9.5546875" bestFit="1" customWidth="1"/>
    <col min="5" max="5" width="13.88671875" bestFit="1" customWidth="1"/>
    <col min="6" max="6" width="15.109375" bestFit="1" customWidth="1"/>
    <col min="7" max="7" width="15" bestFit="1" customWidth="1"/>
    <col min="8" max="8" width="14.6640625" bestFit="1" customWidth="1"/>
    <col min="9" max="9" width="17.88671875" bestFit="1" customWidth="1"/>
    <col min="10" max="10" width="16" bestFit="1" customWidth="1"/>
    <col min="11" max="11" width="38" bestFit="1" customWidth="1"/>
    <col min="12" max="12" width="95.33203125" bestFit="1" customWidth="1"/>
    <col min="13" max="13" width="13.44140625" bestFit="1" customWidth="1"/>
    <col min="14" max="14" width="13.6640625" bestFit="1" customWidth="1"/>
    <col min="15" max="15" width="14.6640625" customWidth="1"/>
    <col min="16" max="16" width="11.33203125" bestFit="1" customWidth="1"/>
    <col min="17" max="17" width="33.33203125" customWidth="1"/>
    <col min="18" max="18" width="31.5546875" bestFit="1" customWidth="1"/>
    <col min="21" max="21" width="10.21875" bestFit="1" customWidth="1"/>
  </cols>
  <sheetData>
    <row r="1" spans="1:21" ht="15.6">
      <c r="A1" s="235" t="s">
        <v>444</v>
      </c>
      <c r="B1" s="235" t="s">
        <v>458</v>
      </c>
      <c r="C1" s="235" t="s">
        <v>688</v>
      </c>
      <c r="D1" s="235" t="s">
        <v>689</v>
      </c>
      <c r="E1" s="235" t="s">
        <v>690</v>
      </c>
      <c r="F1" s="235" t="s">
        <v>691</v>
      </c>
      <c r="G1" s="235" t="s">
        <v>692</v>
      </c>
      <c r="H1" s="235" t="s">
        <v>693</v>
      </c>
      <c r="I1" s="235" t="s">
        <v>694</v>
      </c>
      <c r="J1" s="235" t="s">
        <v>112</v>
      </c>
      <c r="K1" s="235" t="s">
        <v>462</v>
      </c>
      <c r="L1" s="235" t="s">
        <v>463</v>
      </c>
      <c r="M1" s="235" t="s">
        <v>695</v>
      </c>
      <c r="N1" s="235" t="s">
        <v>696</v>
      </c>
      <c r="O1" s="235" t="s">
        <v>697</v>
      </c>
      <c r="P1" s="235" t="s">
        <v>698</v>
      </c>
      <c r="Q1" s="248" t="s">
        <v>699</v>
      </c>
      <c r="T1" s="585" t="s">
        <v>700</v>
      </c>
      <c r="U1" t="s">
        <v>701</v>
      </c>
    </row>
    <row r="2">
      <c r="A2" s="798" t="s">
        <v>471</v>
      </c>
      <c r="B2" s="798" t="s">
        <v>702</v>
      </c>
      <c r="C2" s="798" t="s">
        <v>703</v>
      </c>
      <c r="D2" s="799">
        <f>IF($E2&lt;&gt;"",'Budget Dashboard'!$N$14,"")</f>
      </c>
      <c r="E2" s="800"/>
      <c r="F2" s="799">
        <f>IF($G2&lt;&gt;"",'Budget Dashboard'!$N$15,"")</f>
      </c>
      <c r="G2" s="800"/>
      <c r="H2" s="799">
        <f t="shared" ref="H2:H37" si="0">IF(OR($D2&lt;&gt;"",$F2&lt;&gt;""),N($D2)+N($F2),"")</f>
      </c>
      <c r="I2" s="798" t="s">
        <v>703</v>
      </c>
      <c r="J2" s="798">
        <f t="shared" ref="J2:J40" si="1">IF(O2="Yes","Host Registered",IF(AND(H2&lt;&gt;"",H2&gt;=$R$3),"Fully Registered",IF(D2&lt;&gt;"","Deposit Paid","")))</f>
      </c>
      <c r="K2" s="798" t="s">
        <v>704</v>
      </c>
      <c r="L2" s="798" t="s">
        <v>705</v>
      </c>
      <c r="M2" s="798" t="s">
        <v>706</v>
      </c>
      <c r="N2" s="798" t="s">
        <v>707</v>
      </c>
      <c r="O2" s="793" t="s">
        <v>585</v>
      </c>
      <c r="P2" t="s">
        <v>703</v>
      </c>
      <c r="Q2" s="241" t="s">
        <v>708</v>
      </c>
      <c r="T2" s="20">
        <f>IF(OR($J2="Fully Registered",$J2="Host Registered"),1,0)</f>
      </c>
      <c r="U2">
        <f>IF($T2=0,"",IF($B2="Men",SUMIFS($T$2:$T2,$B$2:$B2,"Men"),SUMIFS($T$2:$T$40,$B$2:$B$40,"Men")+SUMIFS($T$2:$T2,$B$2:$B2,"Women")))</f>
      </c>
    </row>
    <row r="3">
      <c r="A3" s="798" t="s">
        <v>476</v>
      </c>
      <c r="B3" s="798" t="s">
        <v>702</v>
      </c>
      <c r="C3" s="798" t="s">
        <v>703</v>
      </c>
      <c r="D3" s="799">
        <f>IF($E3&lt;&gt;"",'Budget Dashboard'!$N$14,"")</f>
      </c>
      <c r="E3" s="800">
        <v>46279</v>
      </c>
      <c r="F3" s="799">
        <f>IF($G3&lt;&gt;"",'Budget Dashboard'!$N$15,"")</f>
      </c>
      <c r="G3" s="800">
        <v>46357</v>
      </c>
      <c r="H3" s="799">
        <f t="shared" si="0"/>
      </c>
      <c r="I3" s="798" t="s">
        <v>703</v>
      </c>
      <c r="J3" s="798">
        <f t="shared" si="1"/>
      </c>
      <c r="K3" s="798" t="s">
        <v>709</v>
      </c>
      <c r="L3" s="798" t="s">
        <v>710</v>
      </c>
      <c r="M3" s="798" t="s">
        <v>711</v>
      </c>
      <c r="N3" s="798" t="s">
        <v>712</v>
      </c>
      <c r="O3" s="306" t="s">
        <v>549</v>
      </c>
      <c r="P3" t="s">
        <v>703</v>
      </c>
      <c r="Q3" t="s">
        <v>713</v>
      </c>
      <c r="R3" s="320">
        <f>Inputs!C18</f>
      </c>
      <c r="T3" s="20">
        <f t="shared" ref="T3:T18" si="2">IF(OR($J3="Fully Registered",$J3="Host Registered"),1,0)</f>
      </c>
      <c r="U3">
        <f>IF($T3=0,"",IF($B3="Men",SUMIFS($T$2:$T3,$B$2:$B3,"Men"),SUMIFS($T$2:$T$40,$B$2:$B$40,"Men")+SUMIFS($T$2:$T3,$B$2:$B3,"Women")))</f>
      </c>
    </row>
    <row r="4">
      <c r="A4" s="798" t="s">
        <v>480</v>
      </c>
      <c r="B4" s="798" t="s">
        <v>702</v>
      </c>
      <c r="C4" s="798" t="s">
        <v>703</v>
      </c>
      <c r="D4" s="799">
        <f>IF($E4&lt;&gt;"",'Budget Dashboard'!$N$14,"")</f>
      </c>
      <c r="E4" s="800">
        <v>46286</v>
      </c>
      <c r="F4" s="799">
        <f>IF($G4&lt;&gt;"",'Budget Dashboard'!$N$15,"")</f>
      </c>
      <c r="G4" s="800">
        <v>46360</v>
      </c>
      <c r="H4" s="799">
        <f t="shared" si="0"/>
      </c>
      <c r="I4" s="798" t="s">
        <v>703</v>
      </c>
      <c r="J4" s="798">
        <f t="shared" si="1"/>
      </c>
      <c r="K4" s="798" t="s">
        <v>714</v>
      </c>
      <c r="L4" s="798" t="s">
        <v>715</v>
      </c>
      <c r="M4" s="798" t="s">
        <v>716</v>
      </c>
      <c r="N4" s="798" t="s">
        <v>717</v>
      </c>
      <c r="O4" s="793" t="s">
        <v>549</v>
      </c>
      <c r="P4" t="s">
        <v>703</v>
      </c>
      <c r="Q4" t="s">
        <v>718</v>
      </c>
      <c r="R4" s="334">
        <f>Inputs!C13</f>
      </c>
      <c r="T4" s="20">
        <f t="shared" si="2"/>
      </c>
      <c r="U4">
        <f>IF($T4=0,"",IF($B4="Men",SUMIFS($T$2:$T4,$B$2:$B4,"Men"),SUMIFS($T$2:$T$40,$B$2:$B$40,"Men")+SUMIFS($T$2:$T4,$B$2:$B4,"Women")))</f>
      </c>
    </row>
    <row r="5">
      <c r="A5" s="798" t="s">
        <v>484</v>
      </c>
      <c r="B5" s="798" t="s">
        <v>702</v>
      </c>
      <c r="C5" s="798" t="s">
        <v>703</v>
      </c>
      <c r="D5" s="799">
        <f>IF($E5&lt;&gt;"",'Budget Dashboard'!$N$14,"")</f>
      </c>
      <c r="E5" s="800">
        <v>46295</v>
      </c>
      <c r="F5" s="799">
        <f>IF($G5&lt;&gt;"",'Budget Dashboard'!$N$15,"")</f>
      </c>
      <c r="G5" s="800">
        <v>46365</v>
      </c>
      <c r="H5" s="799">
        <f t="shared" si="0"/>
      </c>
      <c r="I5" s="798" t="s">
        <v>703</v>
      </c>
      <c r="J5" s="798">
        <f t="shared" si="1"/>
      </c>
      <c r="K5" s="798" t="s">
        <v>719</v>
      </c>
      <c r="L5" s="798" t="s">
        <v>720</v>
      </c>
      <c r="M5" s="798" t="s">
        <v>721</v>
      </c>
      <c r="N5" s="798" t="s">
        <v>722</v>
      </c>
      <c r="O5" s="306" t="s">
        <v>549</v>
      </c>
      <c r="P5" t="s">
        <v>703</v>
      </c>
      <c r="Q5" t="s">
        <v>723</v>
      </c>
      <c r="R5" s="334">
        <f>Inputs!C14</f>
      </c>
      <c r="T5" s="20">
        <f t="shared" si="2"/>
      </c>
      <c r="U5">
        <f>IF($T5=0,"",IF($B5="Men",SUMIFS($T$2:$T5,$B$2:$B5,"Men"),SUMIFS($T$2:$T$40,$B$2:$B$40,"Men")+SUMIFS($T$2:$T5,$B$2:$B5,"Women")))</f>
      </c>
    </row>
    <row r="6">
      <c r="A6" s="798" t="s">
        <v>489</v>
      </c>
      <c r="B6" s="798" t="s">
        <v>702</v>
      </c>
      <c r="C6" s="798" t="s">
        <v>703</v>
      </c>
      <c r="D6" s="799">
        <f>IF($E6&lt;&gt;"",'Budget Dashboard'!$N$14,"")</f>
      </c>
      <c r="E6" s="800">
        <v>46297</v>
      </c>
      <c r="F6" s="799">
        <f>IF($G6&lt;&gt;"",'Budget Dashboard'!$N$15,"")</f>
      </c>
      <c r="G6" s="800">
        <v>46371</v>
      </c>
      <c r="H6" s="799">
        <f t="shared" si="0"/>
      </c>
      <c r="I6" s="798" t="s">
        <v>703</v>
      </c>
      <c r="J6" s="798">
        <f t="shared" si="1"/>
      </c>
      <c r="K6" s="798" t="s">
        <v>724</v>
      </c>
      <c r="L6" s="798" t="s">
        <v>725</v>
      </c>
      <c r="M6" s="798" t="s">
        <v>726</v>
      </c>
      <c r="N6" s="798" t="s">
        <v>727</v>
      </c>
      <c r="O6" s="793" t="s">
        <v>549</v>
      </c>
      <c r="P6" t="s">
        <v>703</v>
      </c>
      <c r="Q6" t="s">
        <v>728</v>
      </c>
      <c r="R6" s="342">
        <f>R4-R5</f>
      </c>
      <c r="T6" s="20">
        <f t="shared" si="2"/>
      </c>
      <c r="U6">
        <f>IF($T6=0,"",IF($B6="Men",SUMIFS($T$2:$T6,$B$2:$B6,"Men"),SUMIFS($T$2:$T$40,$B$2:$B$40,"Men")+SUMIFS($T$2:$T6,$B$2:$B6,"Women")))</f>
      </c>
    </row>
    <row r="7">
      <c r="A7" s="798" t="s">
        <v>494</v>
      </c>
      <c r="B7" s="798" t="s">
        <v>702</v>
      </c>
      <c r="C7" s="798" t="s">
        <v>703</v>
      </c>
      <c r="D7" s="799">
        <f>IF($E7&lt;&gt;"",'Budget Dashboard'!$N$14,"")</f>
      </c>
      <c r="E7" s="800">
        <v>46304</v>
      </c>
      <c r="F7" s="799">
        <f>IF($G7&lt;&gt;"",'Budget Dashboard'!$N$15,"")</f>
      </c>
      <c r="G7" s="800">
        <v>46374</v>
      </c>
      <c r="H7" s="799">
        <f t="shared" si="0"/>
      </c>
      <c r="I7" s="798" t="s">
        <v>703</v>
      </c>
      <c r="J7" s="798">
        <f t="shared" si="1"/>
      </c>
      <c r="K7" s="798" t="s">
        <v>729</v>
      </c>
      <c r="L7" s="798" t="s">
        <v>730</v>
      </c>
      <c r="M7" s="798" t="s">
        <v>731</v>
      </c>
      <c r="N7" s="798" t="s">
        <v>732</v>
      </c>
      <c r="O7" s="306" t="s">
        <v>549</v>
      </c>
      <c r="P7" t="s">
        <v>703</v>
      </c>
      <c r="T7" s="20">
        <f t="shared" si="2"/>
      </c>
      <c r="U7">
        <f>IF($T7=0,"",IF($B7="Men",SUMIFS($T$2:$T7,$B$2:$B7,"Men"),SUMIFS($T$2:$T$40,$B$2:$B$40,"Men")+SUMIFS($T$2:$T7,$B$2:$B7,"Women")))</f>
      </c>
    </row>
    <row r="8">
      <c r="A8" s="798" t="s">
        <v>498</v>
      </c>
      <c r="B8" s="798" t="s">
        <v>702</v>
      </c>
      <c r="C8" s="798" t="s">
        <v>703</v>
      </c>
      <c r="D8" s="799">
        <f>IF($E8&lt;&gt;"",'Budget Dashboard'!$N$14,"")</f>
      </c>
      <c r="E8" s="800">
        <v>46310</v>
      </c>
      <c r="F8" s="799">
        <f>IF($G8&lt;&gt;"",'Budget Dashboard'!$N$15,"")</f>
      </c>
      <c r="G8" s="800">
        <v>46393</v>
      </c>
      <c r="H8" s="799">
        <f t="shared" si="0"/>
      </c>
      <c r="I8" s="798" t="s">
        <v>703</v>
      </c>
      <c r="J8" s="798">
        <f t="shared" si="1"/>
      </c>
      <c r="K8" s="798" t="s">
        <v>733</v>
      </c>
      <c r="L8" s="798" t="s">
        <v>734</v>
      </c>
      <c r="M8" s="798" t="s">
        <v>735</v>
      </c>
      <c r="N8" s="798" t="s">
        <v>736</v>
      </c>
      <c r="O8" s="793" t="s">
        <v>549</v>
      </c>
      <c r="P8" t="s">
        <v>703</v>
      </c>
      <c r="Q8" s="239" t="s">
        <v>737</v>
      </c>
      <c r="T8" s="20">
        <f t="shared" si="2"/>
      </c>
      <c r="U8">
        <f>IF($T8=0,"",IF($B8="Men",SUMIFS($T$2:$T8,$B$2:$B8,"Men"),SUMIFS($T$2:$T$40,$B$2:$B$40,"Men")+SUMIFS($T$2:$T8,$B$2:$B8,"Women")))</f>
      </c>
    </row>
    <row r="9">
      <c r="A9" s="798" t="s">
        <v>503</v>
      </c>
      <c r="B9" s="798" t="s">
        <v>702</v>
      </c>
      <c r="C9" s="798" t="s">
        <v>703</v>
      </c>
      <c r="D9" s="799">
        <f>IF($E9&lt;&gt;"",'Budget Dashboard'!$N$14,"")</f>
      </c>
      <c r="E9" s="800">
        <v>46315</v>
      </c>
      <c r="F9" s="799">
        <f>IF($G9&lt;&gt;"",'Budget Dashboard'!$N$15,"")</f>
      </c>
      <c r="G9" s="800">
        <v>46395</v>
      </c>
      <c r="H9" s="799">
        <f t="shared" si="0"/>
      </c>
      <c r="I9" s="798" t="s">
        <v>703</v>
      </c>
      <c r="J9" s="798">
        <f t="shared" si="1"/>
      </c>
      <c r="K9" s="798" t="s">
        <v>738</v>
      </c>
      <c r="L9" s="798" t="s">
        <v>739</v>
      </c>
      <c r="M9" s="798" t="s">
        <v>740</v>
      </c>
      <c r="N9" s="798" t="s">
        <v>741</v>
      </c>
      <c r="O9" s="306" t="s">
        <v>549</v>
      </c>
      <c r="P9" t="s">
        <v>703</v>
      </c>
      <c r="Q9" t="s">
        <v>742</v>
      </c>
      <c r="R9" s="240">
        <f>COUNTIF($J$2:$J$45,"Host Registered")</f>
      </c>
      <c r="T9" s="20">
        <f t="shared" si="2"/>
      </c>
      <c r="U9">
        <f>IF($T9=0,"",IF($B9="Men",SUMIFS($T$2:$T9,$B$2:$B9,"Men"),SUMIFS($T$2:$T$40,$B$2:$B$40,"Men")+SUMIFS($T$2:$T9,$B$2:$B9,"Women")))</f>
      </c>
    </row>
    <row r="10" spans="1:21">
      <c r="A10" s="798" t="s">
        <v>519</v>
      </c>
      <c r="B10" s="798" t="s">
        <v>702</v>
      </c>
      <c r="C10" s="798" t="s">
        <v>703</v>
      </c>
      <c r="D10" s="799">
        <f>IF($E10&lt;&gt;"",'Budget Dashboard'!$N$14,"")</f>
      </c>
      <c r="E10" s="800"/>
      <c r="F10" s="799">
        <f>IF($G10&lt;&gt;"",'Budget Dashboard'!$N$15,"")</f>
      </c>
      <c r="G10" s="800"/>
      <c r="H10" s="799">
        <f t="shared" si="0"/>
      </c>
      <c r="I10" s="798"/>
      <c r="J10" s="798">
        <f t="shared" si="1"/>
      </c>
      <c r="K10" s="798" t="s">
        <v>743</v>
      </c>
      <c r="L10" s="798" t="s">
        <v>744</v>
      </c>
      <c r="M10" s="798" t="s">
        <v>745</v>
      </c>
      <c r="N10" s="798" t="s">
        <v>746</v>
      </c>
      <c r="O10" s="793" t="s">
        <v>549</v>
      </c>
      <c r="Q10" t="s">
        <v>747</v>
      </c>
      <c r="R10" s="240">
        <f>COUNTIF($J$2:$J$45,"Fully Registered")</f>
      </c>
      <c r="T10" s="20">
        <f t="shared" si="2"/>
      </c>
      <c r="U10">
        <f>IF($T10=0,"",IF($B10="Men",SUMIFS($T$2:$T10,$B$2:$B10,"Men"),SUMIFS($T$2:$T$40,$B$2:$B$40,"Men")+SUMIFS($T$2:$T10,$B$2:$B10,"Women")))</f>
      </c>
    </row>
    <row r="11" spans="1:21">
      <c r="A11" s="798" t="s">
        <v>507</v>
      </c>
      <c r="B11" s="798" t="s">
        <v>748</v>
      </c>
      <c r="C11" s="798" t="s">
        <v>703</v>
      </c>
      <c r="D11" s="799">
        <f>IF($E11&lt;&gt;"",'Budget Dashboard'!$N$14,"")</f>
      </c>
      <c r="E11" s="800"/>
      <c r="F11" s="799">
        <f>IF($G11&lt;&gt;"",'Budget Dashboard'!$N$15,"")</f>
      </c>
      <c r="G11" s="800"/>
      <c r="H11" s="799">
        <f t="shared" si="0"/>
      </c>
      <c r="I11" s="798" t="s">
        <v>703</v>
      </c>
      <c r="J11" s="798">
        <f t="shared" si="1"/>
      </c>
      <c r="K11" s="798" t="s">
        <v>749</v>
      </c>
      <c r="L11" s="798" t="s">
        <v>750</v>
      </c>
      <c r="M11" s="798" t="s">
        <v>751</v>
      </c>
      <c r="N11" s="798" t="s">
        <v>752</v>
      </c>
      <c r="O11" s="306" t="s">
        <v>585</v>
      </c>
      <c r="P11" s="798" t="s">
        <v>703</v>
      </c>
      <c r="Q11" t="s">
        <v>753</v>
      </c>
      <c r="R11" s="240">
        <f>COUNTIF($J$2:$J$45,"Deposit Paid")</f>
      </c>
      <c r="T11" s="20">
        <f t="shared" si="2"/>
      </c>
      <c r="U11">
        <f>IF($T11=0,"",IF($B11="Men",SUMIFS($T$2:$T11,$B$2:$B11,"Men"),SUMIFS($T$2:$T$40,$B$2:$B$40,"Men")+SUMIFS($T$2:$T11,$B$2:$B11,"Women")))</f>
      </c>
    </row>
    <row r="12" spans="1:21">
      <c r="A12" s="798" t="s">
        <v>510</v>
      </c>
      <c r="B12" s="798" t="s">
        <v>748</v>
      </c>
      <c r="C12" s="798" t="s">
        <v>703</v>
      </c>
      <c r="D12" s="799">
        <f>IF($E12&lt;&gt;"",'Budget Dashboard'!$N$14,"")</f>
      </c>
      <c r="E12" s="800">
        <v>46322</v>
      </c>
      <c r="F12" s="799">
        <f>IF($G12&lt;&gt;"",'Budget Dashboard'!$N$15,"")</f>
      </c>
      <c r="G12" s="800">
        <v>46399</v>
      </c>
      <c r="H12" s="799">
        <f t="shared" si="0"/>
      </c>
      <c r="I12" s="798" t="s">
        <v>703</v>
      </c>
      <c r="J12" s="798">
        <f t="shared" si="1"/>
      </c>
      <c r="K12" s="798" t="s">
        <v>754</v>
      </c>
      <c r="L12" s="798" t="s">
        <v>755</v>
      </c>
      <c r="M12" s="798" t="s">
        <v>756</v>
      </c>
      <c r="N12" s="798" t="s">
        <v>757</v>
      </c>
      <c r="O12" s="306" t="s">
        <v>549</v>
      </c>
      <c r="P12" s="798" t="s">
        <v>703</v>
      </c>
      <c r="Q12" t="s">
        <v>758</v>
      </c>
      <c r="R12" s="251">
        <f>R9+R10</f>
      </c>
      <c r="T12" s="20">
        <f t="shared" si="2"/>
      </c>
      <c r="U12">
        <f>IF($T12=0,"",IF($B12="Men",SUMIFS($T$2:$T12,$B$2:$B12,"Men"),SUMIFS($T$2:$T$40,$B$2:$B$40,"Men")+SUMIFS($T$2:$T12,$B$2:$B12,"Women")))</f>
      </c>
    </row>
    <row r="13">
      <c r="A13" s="798" t="s">
        <v>513</v>
      </c>
      <c r="B13" s="798" t="s">
        <v>748</v>
      </c>
      <c r="C13" s="798" t="s">
        <v>703</v>
      </c>
      <c r="D13" s="799">
        <f>IF($E13&lt;&gt;"",'Budget Dashboard'!$N$14,"")</f>
      </c>
      <c r="E13" s="800">
        <v>46329</v>
      </c>
      <c r="F13" s="799">
        <f>IF($G13&lt;&gt;"",'Budget Dashboard'!$N$15,"")</f>
      </c>
      <c r="G13" s="800">
        <v>46402</v>
      </c>
      <c r="H13" s="799">
        <f t="shared" si="0"/>
      </c>
      <c r="I13" s="798" t="s">
        <v>703</v>
      </c>
      <c r="J13" s="798">
        <f t="shared" si="1"/>
      </c>
      <c r="K13" s="798" t="s">
        <v>759</v>
      </c>
      <c r="L13" s="798" t="s">
        <v>760</v>
      </c>
      <c r="M13" s="798" t="s">
        <v>761</v>
      </c>
      <c r="N13" s="798" t="s">
        <v>762</v>
      </c>
      <c r="O13" s="306" t="s">
        <v>549</v>
      </c>
      <c r="P13" t="s">
        <v>703</v>
      </c>
      <c r="T13" s="20">
        <f t="shared" si="2"/>
      </c>
      <c r="U13">
        <f>IF($T13=0,"",IF($B13="Men",SUMIFS($T$2:$T13,$B$2:$B13,"Men"),SUMIFS($T$2:$T$40,$B$2:$B$40,"Men")+SUMIFS($T$2:$T13,$B$2:$B13,"Women")))</f>
      </c>
    </row>
    <row r="14" spans="1:21">
      <c r="A14" s="798" t="s">
        <v>516</v>
      </c>
      <c r="B14" s="798" t="s">
        <v>748</v>
      </c>
      <c r="C14" s="798" t="s">
        <v>703</v>
      </c>
      <c r="D14" s="799">
        <f>IF($E14&lt;&gt;"",'Budget Dashboard'!$N$14,"")</f>
      </c>
      <c r="E14" s="800">
        <v>46336</v>
      </c>
      <c r="F14" s="799">
        <f>IF($G14&lt;&gt;"",'Budget Dashboard'!$N$15,"")</f>
      </c>
      <c r="G14" s="800">
        <v>46406</v>
      </c>
      <c r="H14" s="799">
        <f t="shared" si="0"/>
      </c>
      <c r="I14" s="798" t="s">
        <v>703</v>
      </c>
      <c r="J14" s="798">
        <f t="shared" si="1"/>
      </c>
      <c r="K14" s="798" t="s">
        <v>763</v>
      </c>
      <c r="L14" s="798" t="s">
        <v>764</v>
      </c>
      <c r="M14" s="798" t="s">
        <v>765</v>
      </c>
      <c r="N14" s="798" t="s">
        <v>766</v>
      </c>
      <c r="O14" s="306" t="s">
        <v>549</v>
      </c>
      <c r="P14" s="798" t="s">
        <v>703</v>
      </c>
      <c r="Q14" s="239" t="s">
        <v>767</v>
      </c>
      <c r="T14" s="20">
        <f t="shared" si="2"/>
      </c>
      <c r="U14">
        <f>IF($T14=0,"",IF($B14="Men",SUMIFS($T$2:$T14,$B$2:$B14,"Men"),SUMIFS($T$2:$T$40,$B$2:$B$40,"Men")+SUMIFS($T$2:$T14,$B$2:$B14,"Women")))</f>
      </c>
    </row>
    <row r="15" spans="1:21">
      <c r="A15" s="798" t="s">
        <v>768</v>
      </c>
      <c r="B15" s="798" t="s">
        <v>748</v>
      </c>
      <c r="C15" s="798" t="s">
        <v>703</v>
      </c>
      <c r="D15" s="799">
        <f>IF($E15&lt;&gt;"",'Budget Dashboard'!$N$14,"")</f>
      </c>
      <c r="E15" s="800"/>
      <c r="F15" s="799">
        <f>IF($G15&lt;&gt;"",'Budget Dashboard'!$N$15,"")</f>
      </c>
      <c r="G15" s="800"/>
      <c r="H15" s="799">
        <f t="shared" si="0"/>
      </c>
      <c r="I15" s="798"/>
      <c r="J15" s="798">
        <f t="shared" si="1"/>
      </c>
      <c r="K15" s="798" t="s">
        <v>769</v>
      </c>
      <c r="L15" s="798" t="s">
        <v>770</v>
      </c>
      <c r="M15" s="798" t="s">
        <v>771</v>
      </c>
      <c r="N15" s="798" t="s">
        <v>772</v>
      </c>
      <c r="O15" s="306" t="s">
        <v>549</v>
      </c>
      <c r="Q15" t="s">
        <v>773</v>
      </c>
      <c r="R15" s="240">
        <f>COUNTIFS($J$2:$J$45,"Fully Registered",$B$2:$B$45,"Men")+COUNTIFS($J$2:$J$45,"Host Registered",$B$2:$B$45,"Men")+COUNTIFS($J$2:$J$45,"Deposit Paid",$B$2:$B$45,"Men")</f>
      </c>
      <c r="T15" s="20">
        <f t="shared" si="2"/>
      </c>
      <c r="U15">
        <f>IF($T15=0,"",IF($B15="Men",SUMIFS($T$2:$T15,$B$2:$B15,"Men"),SUMIFS($T$2:$T$40,$B$2:$B$40,"Men")+SUMIFS($T$2:$T15,$B$2:$B15,"Women")))</f>
      </c>
    </row>
    <row r="16" spans="1:21">
      <c r="A16" s="798"/>
      <c r="B16" s="798"/>
      <c r="C16" s="798"/>
      <c r="D16" s="799">
        <f>IF($E16&lt;&gt;"",'Budget Dashboard'!$N$14,"")</f>
      </c>
      <c r="E16" s="800"/>
      <c r="F16" s="799">
        <f>IF($G16&lt;&gt;"",'Budget Dashboard'!$N$15,"")</f>
      </c>
      <c r="G16" s="800"/>
      <c r="H16" s="799">
        <f t="shared" si="0"/>
      </c>
      <c r="I16" s="798"/>
      <c r="J16" s="798">
        <f t="shared" si="1"/>
      </c>
      <c r="K16" s="798"/>
      <c r="L16" s="798"/>
      <c r="M16" s="798"/>
      <c r="N16" s="798"/>
      <c r="O16" s="793"/>
      <c r="Q16" t="s">
        <v>774</v>
      </c>
      <c r="R16" s="240">
        <f>COUNTIFS($J$2:$J$45,"Fully Registered",$B$2:$B$45,"Women")+COUNTIFS($J$2:$J$45,"Host Registered",$B$2:$B$45,"Women")+COUNTIFS($J$2:$J$45,"Deposit Paid",$B$2:$B$45,"Women")</f>
      </c>
      <c r="T16" s="20">
        <f t="shared" si="2"/>
      </c>
      <c r="U16">
        <f>IF($T16=0,"",IF($B16="Men",SUMIFS($T$2:$T16,$B$2:$B16,"Men"),SUMIFS($T$2:$T$40,$B$2:$B$40,"Men")+SUMIFS($T$2:$T16,$B$2:$B16,"Women")))</f>
      </c>
    </row>
    <row r="17" spans="1:21">
      <c r="A17" s="798"/>
      <c r="B17" s="798"/>
      <c r="C17" s="798"/>
      <c r="D17" s="799">
        <f>IF($E17&lt;&gt;"",'Budget Dashboard'!$N$14,"")</f>
      </c>
      <c r="E17" s="800"/>
      <c r="F17" s="799">
        <f>IF($G17&lt;&gt;"",'Budget Dashboard'!$N$15,"")</f>
      </c>
      <c r="G17" s="800"/>
      <c r="H17" s="799">
        <f t="shared" si="0"/>
      </c>
      <c r="I17" s="798"/>
      <c r="J17" s="798">
        <f t="shared" si="1"/>
      </c>
      <c r="K17" s="798"/>
      <c r="L17" s="798"/>
      <c r="M17" s="798"/>
      <c r="N17" s="798"/>
      <c r="O17" s="306"/>
      <c r="Q17" t="s">
        <v>775</v>
      </c>
      <c r="R17" s="240">
        <f>MAX(0,R5-R15)</f>
      </c>
      <c r="T17" s="20">
        <f t="shared" si="2"/>
      </c>
      <c r="U17">
        <f>IF($T17=0,"",IF($B17="Men",SUMIFS($T$2:$T17,$B$2:$B17,"Men"),SUMIFS($T$2:$T$40,$B$2:$B$40,"Men")+SUMIFS($T$2:$T17,$B$2:$B17,"Women")))</f>
      </c>
    </row>
    <row r="18" spans="1:21">
      <c r="A18" s="798"/>
      <c r="B18" s="798"/>
      <c r="C18" s="798"/>
      <c r="D18" s="799">
        <f>IF($E18&lt;&gt;"",'Budget Dashboard'!$N$14,"")</f>
      </c>
      <c r="E18" s="800"/>
      <c r="F18" s="799">
        <f>IF($G18&lt;&gt;"",'Budget Dashboard'!$N$15,"")</f>
      </c>
      <c r="G18" s="800"/>
      <c r="H18" s="799">
        <f t="shared" si="0"/>
      </c>
      <c r="I18" s="798"/>
      <c r="J18" s="798">
        <f t="shared" si="1"/>
      </c>
      <c r="K18" s="798"/>
      <c r="L18" s="798"/>
      <c r="M18" s="798"/>
      <c r="N18" s="798"/>
      <c r="O18" s="793"/>
      <c r="Q18" t="s">
        <v>776</v>
      </c>
      <c r="R18" s="240">
        <f>MAX(0,R6-R16)</f>
      </c>
      <c r="T18" s="20">
        <f t="shared" si="2"/>
      </c>
      <c r="U18">
        <f>IF($T18=0,"",IF($B18="Men",SUMIFS($T$2:$T18,$B$2:$B18,"Men"),SUMIFS($T$2:$T$40,$B$2:$B$40,"Men")+SUMIFS($T$2:$T18,$B$2:$B18,"Women")))</f>
      </c>
    </row>
    <row r="19" spans="1:21">
      <c r="A19" s="798"/>
      <c r="B19" s="798"/>
      <c r="C19" s="798"/>
      <c r="D19" s="799">
        <f>IF($E19&lt;&gt;"",'Budget Dashboard'!$N$14,"")</f>
      </c>
      <c r="E19" s="800"/>
      <c r="F19" s="799">
        <f>IF($G19&lt;&gt;"",'Budget Dashboard'!$N$15,"")</f>
      </c>
      <c r="G19" s="800"/>
      <c r="H19" s="799">
        <f t="shared" si="0"/>
      </c>
      <c r="I19" s="798"/>
      <c r="J19" s="798">
        <f t="shared" si="1"/>
      </c>
      <c r="K19" s="798"/>
      <c r="L19" s="798"/>
      <c r="M19" s="798"/>
      <c r="N19" s="798"/>
      <c r="O19" s="306"/>
      <c r="T19" s="20">
        <f t="shared" ref="T19:T40" si="3">IF(OR($J19="Fully Registered",$J19="Host Registered"),1,0)</f>
      </c>
      <c r="U19">
        <f>IF($T19=0,"",IF($B19="Men",SUMIFS($T$2:$T19,$B$2:$B19,"Men"),SUMIFS($T$2:$T$40,$B$2:$B$40,"Men")+SUMIFS($T$2:$T19,$B$2:$B19,"Women")))</f>
      </c>
    </row>
    <row r="20" spans="1:21">
      <c r="A20" s="798"/>
      <c r="B20" s="798"/>
      <c r="C20" s="798"/>
      <c r="D20" s="799">
        <f>IF($E20&lt;&gt;"",'Budget Dashboard'!$N$14,"")</f>
      </c>
      <c r="E20" s="800"/>
      <c r="F20" s="799">
        <f>IF($G20&lt;&gt;"",'Budget Dashboard'!$N$15,"")</f>
      </c>
      <c r="G20" s="800"/>
      <c r="H20" s="799">
        <f t="shared" si="0"/>
      </c>
      <c r="I20" s="798"/>
      <c r="J20" s="798">
        <f t="shared" si="1"/>
      </c>
      <c r="K20" s="798"/>
      <c r="L20" s="771"/>
      <c r="M20" s="798"/>
      <c r="N20" s="798"/>
      <c r="O20" s="793"/>
      <c r="Q20" s="585" t="s">
        <v>777</v>
      </c>
      <c r="R20" s="587"/>
      <c r="T20" s="20">
        <f t="shared" si="3"/>
      </c>
      <c r="U20">
        <f>IF($T20=0,"",IF($B20="Men",SUMIFS($T$2:$T20,$B$2:$B20,"Men"),SUMIFS($T$2:$T$40,$B$2:$B$40,"Men")+SUMIFS($T$2:$T20,$B$2:$B20,"Women")))</f>
      </c>
    </row>
    <row r="21" spans="1:21">
      <c r="A21" s="798"/>
      <c r="B21" s="798"/>
      <c r="C21" s="798"/>
      <c r="D21" s="799">
        <f>IF($E21&lt;&gt;"",'Budget Dashboard'!$N$14,"")</f>
      </c>
      <c r="E21" s="800"/>
      <c r="F21" s="799">
        <f>IF($G21&lt;&gt;"",'Budget Dashboard'!$N$15,"")</f>
      </c>
      <c r="G21" s="800"/>
      <c r="H21" s="799">
        <f t="shared" si="0"/>
      </c>
      <c r="I21" s="798"/>
      <c r="J21" s="798">
        <f t="shared" si="1"/>
      </c>
      <c r="K21" s="798"/>
      <c r="L21" s="798"/>
      <c r="M21" s="798"/>
      <c r="N21" s="798"/>
      <c r="O21" s="306"/>
      <c r="Q21" s="249" t="s">
        <v>778</v>
      </c>
      <c r="R21" s="238">
        <f>IF($R$15=$R$5,"OK ("&amp;$R$15&amp;"/"&amp;$R$5&amp;")","MISMATCH: "&amp;$R$15&amp;" confirmed vs "&amp;$R$5&amp;" slots")</f>
      </c>
      <c r="T21" s="20">
        <f t="shared" si="3"/>
      </c>
      <c r="U21">
        <f>IF($T21=0,"",IF($B21="Men",SUMIFS($T$2:$T21,$B$2:$B21,"Men"),SUMIFS($T$2:$T$40,$B$2:$B$40,"Men")+SUMIFS($T$2:$T21,$B$2:$B21,"Women")))</f>
      </c>
    </row>
    <row r="22" spans="1:21">
      <c r="A22" s="798"/>
      <c r="B22" s="798"/>
      <c r="C22" s="798"/>
      <c r="D22" s="799">
        <f>IF($E22&lt;&gt;"",'Budget Dashboard'!$N$14,"")</f>
      </c>
      <c r="E22" s="800"/>
      <c r="F22" s="799">
        <f>IF($G22&lt;&gt;"",'Budget Dashboard'!$N$15,"")</f>
      </c>
      <c r="G22" s="800"/>
      <c r="H22" s="799">
        <f t="shared" si="0"/>
      </c>
      <c r="I22" s="798"/>
      <c r="J22" s="798">
        <f t="shared" si="1"/>
      </c>
      <c r="K22" s="798"/>
      <c r="L22" s="798"/>
      <c r="M22" s="798"/>
      <c r="N22" s="798"/>
      <c r="O22" s="793"/>
      <c r="Q22" s="162" t="s">
        <v>779</v>
      </c>
      <c r="R22" s="238">
        <f>IF($R$16=$R$6,"OK ("&amp;$R$16&amp;"/"&amp;$R$6&amp;")","MISMATCH: "&amp;$R$16&amp;" confirmed vs "&amp;$R$6&amp;" slots")</f>
      </c>
      <c r="T22" s="20">
        <f t="shared" si="3"/>
      </c>
      <c r="U22">
        <f>IF($T22=0,"",IF($B22="Men",SUMIFS($T$2:$T22,$B$2:$B22,"Men"),SUMIFS($T$2:$T$40,$B$2:$B$40,"Men")+SUMIFS($T$2:$T22,$B$2:$B22,"Women")))</f>
      </c>
    </row>
    <row r="23" spans="1:21">
      <c r="A23" s="798"/>
      <c r="B23" s="798"/>
      <c r="C23" s="798"/>
      <c r="D23" s="799">
        <f>IF($E23&lt;&gt;"",'Budget Dashboard'!$N$14,"")</f>
      </c>
      <c r="E23" s="800"/>
      <c r="F23" s="799">
        <f>IF($G23&lt;&gt;"",'Budget Dashboard'!$N$15,"")</f>
      </c>
      <c r="G23" s="800"/>
      <c r="H23" s="799">
        <f t="shared" si="0"/>
      </c>
      <c r="I23" s="798"/>
      <c r="J23" s="798">
        <f t="shared" si="1"/>
      </c>
      <c r="K23" s="798"/>
      <c r="L23" s="801"/>
      <c r="M23" s="798"/>
      <c r="N23" s="798"/>
      <c r="O23" s="306"/>
      <c r="Q23" s="250" t="s">
        <v>780</v>
      </c>
      <c r="R23" s="238">
        <f>IF(AND($R$15=$R$5,$R$16=$R$6),"YES: matches active format","NO: adjust registrations")</f>
      </c>
      <c r="T23" s="20">
        <f t="shared" si="3"/>
      </c>
      <c r="U23">
        <f>IF($T23=0,"",IF($B23="Men",SUMIFS($T$2:$T23,$B$2:$B23,"Men"),SUMIFS($T$2:$T$40,$B$2:$B$40,"Men")+SUMIFS($T$2:$T23,$B$2:$B23,"Women")))</f>
      </c>
    </row>
    <row r="24" spans="1:21">
      <c r="A24" s="798"/>
      <c r="B24" s="798"/>
      <c r="C24" s="798"/>
      <c r="D24" s="799">
        <f>IF($E24&lt;&gt;"",'Budget Dashboard'!$N$14,"")</f>
      </c>
      <c r="E24" s="800"/>
      <c r="F24" s="799">
        <f>IF($G24&lt;&gt;"",'Budget Dashboard'!$N$15,"")</f>
      </c>
      <c r="G24" s="800"/>
      <c r="H24" s="799">
        <f t="shared" si="0"/>
      </c>
      <c r="I24" s="798"/>
      <c r="J24" s="798">
        <f t="shared" si="1"/>
      </c>
      <c r="K24" s="798"/>
      <c r="L24" s="798"/>
      <c r="M24" s="798"/>
      <c r="N24" s="798"/>
      <c r="O24" s="793"/>
      <c r="Q24" t="s">
        <v>117</v>
      </c>
      <c r="T24" s="20">
        <f t="shared" si="3"/>
      </c>
      <c r="U24">
        <f>IF($T24=0,"",IF($B24="Men",SUMIFS($T$2:$T24,$B$2:$B24,"Men"),SUMIFS($T$2:$T$40,$B$2:$B$40,"Men")+SUMIFS($T$2:$T24,$B$2:$B24,"Women")))</f>
      </c>
    </row>
    <row r="25" spans="1:21">
      <c r="A25" s="798"/>
      <c r="B25" s="798"/>
      <c r="C25" s="798"/>
      <c r="D25" s="799">
        <f>IF($E25&lt;&gt;"",'Budget Dashboard'!$N$14,"")</f>
      </c>
      <c r="E25" s="800"/>
      <c r="F25" s="799">
        <f>IF($G25&lt;&gt;"",'Budget Dashboard'!$N$15,"")</f>
      </c>
      <c r="G25" s="800"/>
      <c r="H25" s="799">
        <f t="shared" si="0"/>
      </c>
      <c r="I25" s="798"/>
      <c r="J25" s="798">
        <f t="shared" si="1"/>
      </c>
      <c r="K25" s="798"/>
      <c r="L25" s="798"/>
      <c r="M25" s="798"/>
      <c r="N25" s="798"/>
      <c r="O25" s="306"/>
      <c r="T25" s="20">
        <f t="shared" si="3"/>
      </c>
      <c r="U25">
        <f>IF($T25=0,"",IF($B25="Men",SUMIFS($T$2:$T25,$B$2:$B25,"Men"),SUMIFS($T$2:$T$40,$B$2:$B$40,"Men")+SUMIFS($T$2:$T25,$B$2:$B25,"Women")))</f>
      </c>
    </row>
    <row r="26" spans="1:21">
      <c r="A26" s="798"/>
      <c r="B26" s="798"/>
      <c r="C26" s="798"/>
      <c r="D26" s="799">
        <f>IF($E26&lt;&gt;"",'Budget Dashboard'!$N$14,"")</f>
      </c>
      <c r="E26" s="800"/>
      <c r="F26" s="799">
        <f>IF($G26&lt;&gt;"",'Budget Dashboard'!$N$15,"")</f>
      </c>
      <c r="G26" s="800"/>
      <c r="H26" s="799">
        <f t="shared" si="0"/>
      </c>
      <c r="I26" s="798"/>
      <c r="J26" s="798">
        <f t="shared" si="1"/>
      </c>
      <c r="K26" s="798"/>
      <c r="L26" s="798"/>
      <c r="M26" s="798"/>
      <c r="N26" s="798"/>
      <c r="O26" s="793"/>
      <c r="T26" s="20">
        <f t="shared" si="3"/>
      </c>
      <c r="U26">
        <f>IF($T26=0,"",IF($B26="Men",SUMIFS($T$2:$T26,$B$2:$B26,"Men"),SUMIFS($T$2:$T$40,$B$2:$B$40,"Men")+SUMIFS($T$2:$T26,$B$2:$B26,"Women")))</f>
      </c>
    </row>
    <row r="27" spans="1:21">
      <c r="A27" s="798"/>
      <c r="B27" s="798"/>
      <c r="C27" s="798"/>
      <c r="D27" s="799">
        <f>IF($E27&lt;&gt;"",'Budget Dashboard'!$N$14,"")</f>
      </c>
      <c r="E27" s="800"/>
      <c r="F27" s="799">
        <f>IF($G27&lt;&gt;"",'Budget Dashboard'!$N$15,"")</f>
      </c>
      <c r="G27" s="800"/>
      <c r="H27" s="799">
        <f t="shared" si="0"/>
      </c>
      <c r="I27" s="798"/>
      <c r="J27" s="798">
        <f t="shared" si="1"/>
      </c>
      <c r="K27" s="798"/>
      <c r="L27" s="798"/>
      <c r="M27" s="798"/>
      <c r="N27" s="798"/>
      <c r="O27" s="306"/>
      <c r="T27" s="20">
        <f t="shared" si="3"/>
      </c>
      <c r="U27">
        <f>IF($T27=0,"",IF($B27="Men",SUMIFS($T$2:$T27,$B$2:$B27,"Men"),SUMIFS($T$2:$T$40,$B$2:$B$40,"Men")+SUMIFS($T$2:$T27,$B$2:$B27,"Women")))</f>
      </c>
    </row>
    <row r="28" spans="1:21">
      <c r="A28" s="798"/>
      <c r="B28" s="798"/>
      <c r="C28" s="798"/>
      <c r="D28" s="799">
        <f>IF($E28&lt;&gt;"",'Budget Dashboard'!$N$14,"")</f>
      </c>
      <c r="E28" s="800"/>
      <c r="F28" s="799">
        <f>IF($G28&lt;&gt;"",'Budget Dashboard'!$N$15,"")</f>
      </c>
      <c r="G28" s="800"/>
      <c r="H28" s="799">
        <f t="shared" si="0"/>
      </c>
      <c r="I28" s="798"/>
      <c r="J28" s="798">
        <f t="shared" si="1"/>
      </c>
      <c r="K28" s="798"/>
      <c r="L28" s="798"/>
      <c r="M28" s="798"/>
      <c r="N28" s="798"/>
      <c r="O28" s="793"/>
      <c r="T28" s="20">
        <f t="shared" si="3"/>
      </c>
      <c r="U28">
        <f>IF($T28=0,"",IF($B28="Men",SUMIFS($T$2:$T28,$B$2:$B28,"Men"),SUMIFS($T$2:$T$40,$B$2:$B$40,"Men")+SUMIFS($T$2:$T28,$B$2:$B28,"Women")))</f>
      </c>
    </row>
    <row r="29" spans="1:21">
      <c r="A29" s="798"/>
      <c r="B29" s="798"/>
      <c r="C29" s="798"/>
      <c r="D29" s="799">
        <f>IF($E29&lt;&gt;"",'Budget Dashboard'!$N$14,"")</f>
      </c>
      <c r="E29" s="800"/>
      <c r="F29" s="799">
        <f>IF($G29&lt;&gt;"",'Budget Dashboard'!$N$15,"")</f>
      </c>
      <c r="G29" s="800"/>
      <c r="H29" s="799">
        <f t="shared" si="0"/>
      </c>
      <c r="I29" s="798"/>
      <c r="J29" s="798">
        <f t="shared" si="1"/>
      </c>
      <c r="K29" s="798"/>
      <c r="L29" s="798"/>
      <c r="M29" s="798"/>
      <c r="N29" s="798"/>
      <c r="O29" s="306"/>
      <c r="T29" s="20">
        <f t="shared" si="3"/>
      </c>
      <c r="U29">
        <f>IF($T29=0,"",IF($B29="Men",SUMIFS($T$2:$T29,$B$2:$B29,"Men"),SUMIFS($T$2:$T$40,$B$2:$B$40,"Men")+SUMIFS($T$2:$T29,$B$2:$B29,"Women")))</f>
      </c>
    </row>
    <row r="30" spans="1:21">
      <c r="A30" s="798"/>
      <c r="B30" s="798"/>
      <c r="C30" s="798"/>
      <c r="D30" s="799">
        <f>IF($E30&lt;&gt;"",'Budget Dashboard'!$N$14,"")</f>
      </c>
      <c r="E30" s="800"/>
      <c r="F30" s="799">
        <f>IF($G30&lt;&gt;"",'Budget Dashboard'!$N$15,"")</f>
      </c>
      <c r="G30" s="800"/>
      <c r="H30" s="799">
        <f t="shared" si="0"/>
      </c>
      <c r="I30" s="798"/>
      <c r="J30" s="798">
        <f t="shared" si="1"/>
      </c>
      <c r="K30" s="798"/>
      <c r="L30" s="798"/>
      <c r="M30" s="798"/>
      <c r="N30" s="798"/>
      <c r="O30" s="793"/>
      <c r="T30" s="20">
        <f t="shared" si="3"/>
      </c>
      <c r="U30">
        <f>IF($T30=0,"",IF($B30="Men",SUMIFS($T$2:$T30,$B$2:$B30,"Men"),SUMIFS($T$2:$T$40,$B$2:$B$40,"Men")+SUMIFS($T$2:$T30,$B$2:$B30,"Women")))</f>
      </c>
    </row>
    <row r="31" spans="1:21">
      <c r="A31" s="798"/>
      <c r="B31" s="798"/>
      <c r="C31" s="798"/>
      <c r="D31" s="799">
        <f>IF($E31&lt;&gt;"",'Budget Dashboard'!$N$14,"")</f>
      </c>
      <c r="E31" s="800"/>
      <c r="F31" s="799">
        <f>IF($G31&lt;&gt;"",'Budget Dashboard'!$N$15,"")</f>
      </c>
      <c r="G31" s="800"/>
      <c r="H31" s="799">
        <f t="shared" si="0"/>
      </c>
      <c r="I31" s="798"/>
      <c r="J31" s="798">
        <f t="shared" si="1"/>
      </c>
      <c r="K31" s="798"/>
      <c r="L31" s="798"/>
      <c r="M31" s="798"/>
      <c r="N31" s="798"/>
      <c r="O31" s="306"/>
      <c r="T31" s="20">
        <f t="shared" si="3"/>
      </c>
      <c r="U31">
        <f>IF($T31=0,"",IF($B31="Men",SUMIFS($T$2:$T31,$B$2:$B31,"Men"),SUMIFS($T$2:$T$40,$B$2:$B$40,"Men")+SUMIFS($T$2:$T31,$B$2:$B31,"Women")))</f>
      </c>
    </row>
    <row r="32" spans="1:21">
      <c r="A32" s="798"/>
      <c r="B32" s="798"/>
      <c r="C32" s="798"/>
      <c r="D32" s="799">
        <f>IF($E32&lt;&gt;"",'Budget Dashboard'!$N$14,"")</f>
      </c>
      <c r="E32" s="800"/>
      <c r="F32" s="799">
        <f>IF($G32&lt;&gt;"",'Budget Dashboard'!$N$15,"")</f>
      </c>
      <c r="G32" s="800"/>
      <c r="H32" s="799">
        <f t="shared" si="0"/>
      </c>
      <c r="I32" s="798"/>
      <c r="J32" s="798">
        <f t="shared" si="1"/>
      </c>
      <c r="K32" s="798"/>
      <c r="L32" s="798"/>
      <c r="M32" s="798"/>
      <c r="N32" s="798"/>
      <c r="O32" s="793"/>
      <c r="P32" s="798"/>
      <c r="T32" s="20">
        <f t="shared" si="3"/>
      </c>
      <c r="U32">
        <f>IF($T32=0,"",IF($B32="Men",SUMIFS($T$2:$T32,$B$2:$B32,"Men"),SUMIFS($T$2:$T$40,$B$2:$B$40,"Men")+SUMIFS($T$2:$T32,$B$2:$B32,"Women")))</f>
      </c>
    </row>
    <row r="33" spans="1:21">
      <c r="A33" s="798"/>
      <c r="B33" s="798"/>
      <c r="C33" s="798"/>
      <c r="D33" s="799">
        <f>IF($E33&lt;&gt;"",'Budget Dashboard'!$N$14,"")</f>
      </c>
      <c r="E33" s="800"/>
      <c r="F33" s="799">
        <f>IF($G33&lt;&gt;"",'Budget Dashboard'!$N$15,"")</f>
      </c>
      <c r="G33" s="800"/>
      <c r="H33" s="799">
        <f t="shared" si="0"/>
      </c>
      <c r="I33" s="798"/>
      <c r="J33" s="798">
        <f t="shared" si="1"/>
      </c>
      <c r="K33" s="798"/>
      <c r="L33" s="798"/>
      <c r="M33" s="798"/>
      <c r="N33" s="798"/>
      <c r="O33" s="306"/>
      <c r="P33" s="798"/>
      <c r="T33" s="20">
        <f t="shared" si="3"/>
      </c>
      <c r="U33">
        <f>IF($T33=0,"",IF($B33="Men",SUMIFS($T$2:$T33,$B$2:$B33,"Men"),SUMIFS($T$2:$T$40,$B$2:$B$40,"Men")+SUMIFS($T$2:$T33,$B$2:$B33,"Women")))</f>
      </c>
    </row>
    <row r="34" spans="1:21">
      <c r="A34" s="798"/>
      <c r="B34" s="798"/>
      <c r="C34" s="798"/>
      <c r="D34" s="799">
        <f>IF($E34&lt;&gt;"",'Budget Dashboard'!$N$14,"")</f>
      </c>
      <c r="E34" s="800"/>
      <c r="F34" s="799">
        <f>IF($G34&lt;&gt;"",'Budget Dashboard'!$N$15,"")</f>
      </c>
      <c r="G34" s="800"/>
      <c r="H34" s="799">
        <f t="shared" si="0"/>
      </c>
      <c r="I34" s="798"/>
      <c r="J34" s="798">
        <f t="shared" si="1"/>
      </c>
      <c r="K34" s="798"/>
      <c r="L34" s="798"/>
      <c r="M34" s="798"/>
      <c r="N34" s="798"/>
      <c r="O34" s="793"/>
      <c r="T34" s="20">
        <f t="shared" si="3"/>
      </c>
      <c r="U34">
        <f>IF($T34=0,"",IF($B34="Men",SUMIFS($T$2:$T34,$B$2:$B34,"Men"),SUMIFS($T$2:$T$40,$B$2:$B$40,"Men")+SUMIFS($T$2:$T34,$B$2:$B34,"Women")))</f>
      </c>
    </row>
    <row r="35" spans="1:21">
      <c r="A35" s="798"/>
      <c r="B35" s="798"/>
      <c r="C35" s="798"/>
      <c r="D35" s="799">
        <f>IF($E35&lt;&gt;"",'Budget Dashboard'!$N$14,"")</f>
      </c>
      <c r="E35" s="800"/>
      <c r="F35" s="799">
        <f>IF($G35&lt;&gt;"",'Budget Dashboard'!$N$15,"")</f>
      </c>
      <c r="G35" s="800"/>
      <c r="H35" s="799">
        <f t="shared" si="0"/>
      </c>
      <c r="I35" s="798"/>
      <c r="J35" s="798">
        <f t="shared" si="1"/>
      </c>
      <c r="K35" s="798"/>
      <c r="L35" s="798"/>
      <c r="M35" s="798"/>
      <c r="N35" s="798"/>
      <c r="O35" s="306"/>
      <c r="T35" s="20">
        <f t="shared" si="3"/>
      </c>
      <c r="U35">
        <f>IF($T35=0,"",IF($B35="Men",SUMIFS($T$2:$T35,$B$2:$B35,"Men"),SUMIFS($T$2:$T$40,$B$2:$B$40,"Men")+SUMIFS($T$2:$T35,$B$2:$B35,"Women")))</f>
      </c>
    </row>
    <row r="36" spans="1:21">
      <c r="A36" s="798"/>
      <c r="B36" s="798"/>
      <c r="C36" s="798"/>
      <c r="D36" s="799">
        <f>IF($E36&lt;&gt;"",'Budget Dashboard'!$N$14,"")</f>
      </c>
      <c r="E36" s="800"/>
      <c r="F36" s="799">
        <f>IF($G36&lt;&gt;"",'Budget Dashboard'!$N$15,"")</f>
      </c>
      <c r="G36" s="800"/>
      <c r="H36" s="799">
        <f t="shared" si="0"/>
      </c>
      <c r="I36" s="798"/>
      <c r="J36" s="798">
        <f t="shared" si="1"/>
      </c>
      <c r="K36" s="798"/>
      <c r="L36" s="798"/>
      <c r="M36" s="798"/>
      <c r="N36" s="798"/>
      <c r="O36" s="793"/>
      <c r="T36" s="20">
        <f t="shared" si="3"/>
      </c>
      <c r="U36">
        <f>IF($T36=0,"",IF($B36="Men",SUMIFS($T$2:$T36,$B$2:$B36,"Men"),SUMIFS($T$2:$T$40,$B$2:$B$40,"Men")+SUMIFS($T$2:$T36,$B$2:$B36,"Women")))</f>
      </c>
    </row>
    <row r="37" spans="1:21">
      <c r="A37" s="798"/>
      <c r="B37" s="798"/>
      <c r="C37" s="798"/>
      <c r="D37" s="799">
        <f>IF($E37&lt;&gt;"",'Budget Dashboard'!$N$14,"")</f>
      </c>
      <c r="E37" s="800"/>
      <c r="F37" s="799">
        <f>IF($G37&lt;&gt;"",'Budget Dashboard'!$N$15,"")</f>
      </c>
      <c r="G37" s="800"/>
      <c r="H37" s="799">
        <f t="shared" si="0"/>
      </c>
      <c r="I37" s="798"/>
      <c r="J37" s="798">
        <f t="shared" si="1"/>
      </c>
      <c r="K37" s="798"/>
      <c r="L37" s="798"/>
      <c r="M37" s="798"/>
      <c r="N37" s="798"/>
      <c r="O37" s="306"/>
      <c r="P37" s="798"/>
      <c r="T37" s="20">
        <f t="shared" si="3"/>
      </c>
      <c r="U37">
        <f>IF($T37=0,"",IF($B37="Men",SUMIFS($T$2:$T37,$B$2:$B37,"Men"),SUMIFS($T$2:$T$40,$B$2:$B$40,"Men")+SUMIFS($T$2:$T37,$B$2:$B37,"Women")))</f>
      </c>
    </row>
    <row r="38" spans="1:21">
      <c r="A38" s="798"/>
      <c r="B38" s="798"/>
      <c r="C38" s="798"/>
      <c r="D38" s="799">
        <f>IF($E38&lt;&gt;"",'Budget Dashboard'!$N$14,"")</f>
      </c>
      <c r="E38" s="800"/>
      <c r="F38" s="799">
        <f>IF($G38&lt;&gt;"",'Budget Dashboard'!$N$15,"")</f>
      </c>
      <c r="G38" s="800"/>
      <c r="H38" s="799">
        <f>IF(OR($D38&lt;&gt;"",$F38&lt;&gt;""),N($D38)+N($F38),"")</f>
      </c>
      <c r="I38" s="798"/>
      <c r="J38" s="798">
        <f t="shared" si="1"/>
      </c>
      <c r="K38" s="798"/>
      <c r="L38" s="798"/>
      <c r="M38" s="798"/>
      <c r="N38" s="798"/>
      <c r="P38" s="798"/>
      <c r="T38" s="20">
        <f t="shared" si="3"/>
      </c>
      <c r="U38">
        <f>IF($T38=0,"",IF($B38="Men",SUMIFS($T$2:$T38,$B$2:$B38,"Men"),SUMIFS($T$2:$T$40,$B$2:$B$40,"Men")+SUMIFS($T$2:$T38,$B$2:$B38,"Women")))</f>
      </c>
    </row>
    <row r="39" spans="1:21">
      <c r="A39" s="798"/>
      <c r="B39" s="798"/>
      <c r="C39" s="798"/>
      <c r="D39" s="798"/>
      <c r="E39" s="798"/>
      <c r="F39" s="798"/>
      <c r="G39" s="798"/>
      <c r="H39" s="798"/>
      <c r="I39" s="798"/>
      <c r="J39" s="798">
        <f t="shared" si="1"/>
      </c>
      <c r="K39" s="798"/>
      <c r="L39" s="798"/>
      <c r="M39" s="798"/>
      <c r="N39" s="798"/>
      <c r="T39" s="20">
        <f t="shared" si="3"/>
      </c>
      <c r="U39">
        <f>IF($T39=0,"",IF($B39="Men",SUMIFS($T$2:$T39,$B$2:$B39,"Men"),SUMIFS($T$2:$T$40,$B$2:$B$40,"Men")+SUMIFS($T$2:$T39,$B$2:$B39,"Women")))</f>
      </c>
    </row>
    <row r="40" spans="1:21">
      <c r="J40" s="240">
        <f t="shared" si="1"/>
      </c>
      <c r="T40" s="20">
        <f t="shared" si="3"/>
      </c>
      <c r="U40">
        <f>IF($T40=0,"",IF($B40="Men",SUMIFS($T$2:$T40,$B$2:$B40,"Men"),SUMIFS($T$2:$T$40,$B$2:$B$40,"Men")+SUMIFS($T$2:$T40,$B$2:$B40,"Women")))</f>
      </c>
    </row>
    <row r="41" spans="1:21">
      <c r="A41" s="242" t="s">
        <v>781</v>
      </c>
      <c r="B41" s="247">
        <f>COUNTIFS($B$2:$B$40,"Women",$J$2:$J$40,"Fully Registered")+COUNTIFS($B$2:$B$40,"Women",$J$2:$J$40,"Host Registered")</f>
      </c>
      <c r="C41" s="304"/>
      <c r="D41" s="246">
        <f>SUMIF($B$2:$B$40,"Women",D$2:D$40)</f>
      </c>
      <c r="E41" s="242"/>
      <c r="F41" s="246">
        <f>SUMIF($B$2:$B$40,"Women",F$2:F$40)</f>
      </c>
      <c r="G41" s="242"/>
      <c r="H41" s="246">
        <f t="shared" ref="H41:H42" si="4">IF(OR(D41&lt;&gt;"",F41&lt;&gt;""),D41+F41,"")</f>
      </c>
      <c r="I41" s="242"/>
      <c r="J41" s="243"/>
      <c r="K41" s="242"/>
      <c r="L41" s="242"/>
      <c r="M41" s="242"/>
      <c r="N41" s="242"/>
      <c r="O41" s="244" t="s">
        <v>782</v>
      </c>
    </row>
    <row r="42" spans="1:21">
      <c r="A42" s="242" t="s">
        <v>783</v>
      </c>
      <c r="B42" s="247">
        <f>COUNTIFS($B$2:$B$40,"Men",$J$2:$J$40,"Fully Registered")+COUNTIFS($B$2:$B$40,"Men",$J$2:$J$40,"Host Registered")</f>
      </c>
      <c r="C42" s="304"/>
      <c r="D42" s="246">
        <f>SUMIF($B$2:$B$40,"Men",D$2:D$40)</f>
      </c>
      <c r="E42" s="242"/>
      <c r="F42" s="246">
        <f>SUMIF($B$2:$B$40,"Men",F$2:F$40)</f>
      </c>
      <c r="G42" s="242"/>
      <c r="H42" s="246">
        <f t="shared" si="4"/>
      </c>
      <c r="I42" s="242"/>
      <c r="J42" s="243"/>
      <c r="K42" s="242"/>
      <c r="L42" s="242"/>
      <c r="M42" s="242"/>
      <c r="N42" s="242"/>
      <c r="O42" s="244" t="s">
        <v>782</v>
      </c>
    </row>
    <row r="44" spans="1:21" ht="15.6">
      <c r="A44" s="27" t="s">
        <v>784</v>
      </c>
    </row>
    <row r="45" spans="1:21">
      <c r="A45" t="s">
        <v>785</v>
      </c>
    </row>
    <row r="46" spans="1:21">
      <c r="A46" t="s">
        <v>786</v>
      </c>
    </row>
    <row r="47" spans="1:21">
      <c r="A47" t="s">
        <v>787</v>
      </c>
    </row>
    <row r="48" spans="1:21">
      <c r="A48" t="s">
        <v>788</v>
      </c>
    </row>
    <row r="49" spans="1:1">
      <c r="A49" t="s">
        <v>789</v>
      </c>
    </row>
    <row r="50" spans="1:1">
      <c r="A50" t="s">
        <v>790</v>
      </c>
    </row>
    <row r="51" spans="1:1">
      <c r="A51" t="s">
        <v>791</v>
      </c>
    </row>
    <row r="52" spans="1:1">
      <c r="A52" t="s">
        <v>792</v>
      </c>
    </row>
    <row r="53" spans="1:1">
      <c r="A53" t="s">
        <v>793</v>
      </c>
    </row>
    <row r="54" spans="1:1">
      <c r="A54" t="s">
        <v>794</v>
      </c>
    </row>
    <row r="55" spans="1:1">
      <c r="A55" t="s">
        <v>795</v>
      </c>
    </row>
    <row r="56" spans="1:1">
      <c r="A56" s="194" t="s">
        <v>796</v>
      </c>
    </row>
  </sheetData>
  <conditionalFormatting sqref="A2:O2 A3:I37 K3:O37 J3:J40 A41:O42">
    <cfRule type="expression" dxfId="25" priority="5">
      <formula>$J2="Fully Registered"</formula>
    </cfRule>
    <cfRule type="expression" dxfId="24" priority="6">
      <formula>$J2="Host - Registered"</formula>
    </cfRule>
    <cfRule type="expression" dxfId="23" priority="7">
      <formula>$J2="Deposit Paid"</formula>
    </cfRule>
  </conditionalFormatting>
  <conditionalFormatting sqref="Q21:R23">
    <cfRule type="containsText" dxfId="22" priority="1" operator="containsText" text="MISMATCH">
      <formula>NOT(ISERROR(SEARCH("MISMATCH",Q21)))</formula>
    </cfRule>
    <cfRule type="containsText" dxfId="21" priority="2" operator="containsText" text="NO -">
      <formula>NOT(ISERROR(SEARCH("NO -",Q21)))</formula>
    </cfRule>
    <cfRule type="containsText" dxfId="20" priority="3" operator="containsText" text="OK">
      <formula>NOT(ISERROR(SEARCH("OK",Q21)))</formula>
    </cfRule>
    <cfRule type="containsText" dxfId="19" priority="4" operator="containsText" text="YES">
      <formula>NOT(ISERROR(SEARCH("YES",Q21)))</formula>
    </cfRule>
  </conditionalFormatting>
  <dataValidations count="1">
    <dataValidation type="list" allowBlank="1" showInputMessage="1" showErrorMessage="1" sqref="O41:O42 O2:O37" xr:uid="{D53D59BF-F116-4915-848E-7862591F8E8F}">
      <formula1>"Yes,No"</formula1>
    </dataValidation>
  </dataValidations>
  <pageMargins left="0.7" right="0.7" top="0.75" bottom="0.75" header="0.3" footer="0.3"/>
  <legacyDrawing r:id="rId3"/>
  <tableParts count="1">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AE6C1-866D-42AF-A090-AE83E7A0D2A8}">
  <sheetPr>
    <tabColor rgb="FF548235"/>
  </sheetPr>
  <dimension ref="A1"/>
  <sheetViews>
    <sheetView workbookViewId="0"/>
  </sheetViews>
  <sheetFormatPr defaultRowHeight="14.4"/>
  <sheetData>
    <row r="1" spans="1:1" ht="23.4">
      <c r="A1" s="156" t="s">
        <v>29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9D18E"/>
    <pageSetUpPr fitToPage="1"/>
  </sheetPr>
  <dimension ref="A1:AB1001"/>
  <sheetViews>
    <sheetView showGridLines="0" workbookViewId="0">
      <pane xSplit="8" ySplit="4" topLeftCell="O5" activePane="bottomRight" state="frozen"/>
      <selection pane="topRight" activeCell="I1" sqref="I1"/>
      <selection pane="bottomLeft" activeCell="A5" sqref="A5"/>
      <selection pane="bottomRight" activeCell="R36" sqref="R36"/>
    </sheetView>
  </sheetViews>
  <sheetFormatPr defaultColWidth="14.44140625" defaultRowHeight="15" customHeight="1" outlineLevelRow="1" outlineLevelCol="2"/>
  <cols>
    <col min="1" max="1" width="8.6640625" customWidth="1"/>
    <col min="2" max="2" width="9.6640625" customWidth="1"/>
    <col min="3" max="3" width="8" customWidth="1"/>
    <col min="4" max="4" width="8.6640625" customWidth="1" outlineLevel="1"/>
    <col min="5" max="5" width="12.5546875" customWidth="1" outlineLevel="1"/>
    <col min="6" max="8" width="8.6640625" customWidth="1" outlineLevel="2"/>
    <col min="9" max="9" width="5.33203125" customWidth="1"/>
    <col min="10" max="11" width="4.109375" customWidth="1" outlineLevel="1"/>
    <col min="12" max="13" width="8.6640625" customWidth="1" outlineLevel="1"/>
    <col min="14" max="14" width="25.5546875" customWidth="1"/>
    <col min="15" max="15" width="18.6640625" customWidth="1"/>
    <col min="16" max="16" width="45.109375" customWidth="1" outlineLevel="2"/>
    <col min="17" max="18" width="17.109375" customWidth="1" outlineLevel="2"/>
    <col min="19" max="19" width="12.44140625" customWidth="1" outlineLevel="1"/>
    <col min="20" max="20" width="11.33203125" customWidth="1" outlineLevel="1"/>
    <col min="21" max="21" width="10.44140625" customWidth="1" outlineLevel="1"/>
    <col min="22" max="22" width="10.88671875" customWidth="1" outlineLevel="1"/>
    <col min="23" max="23" width="8.6640625" customWidth="1"/>
    <col min="24" max="24" width="24" customWidth="1"/>
    <col min="25" max="25" width="26.88671875" customWidth="1"/>
    <col min="28" max="28" width="17.33203125" bestFit="1" customWidth="1"/>
  </cols>
  <sheetData>
    <row r="1" spans="1:28" ht="15" customHeight="1">
      <c r="B1" s="579" t="s">
        <v>797</v>
      </c>
    </row>
    <row r="2" spans="1:28" ht="14.4">
      <c r="B2" s="797" t="s">
        <v>798</v>
      </c>
      <c r="D2" s="4"/>
      <c r="E2" s="4"/>
      <c r="F2" s="4"/>
      <c r="G2" s="4"/>
      <c r="H2" s="4"/>
      <c r="I2" s="4"/>
      <c r="J2" s="4"/>
      <c r="K2" s="4"/>
      <c r="L2" s="4"/>
      <c r="M2" s="4"/>
      <c r="N2" s="4"/>
      <c r="O2" s="4"/>
      <c r="P2" s="4"/>
      <c r="Q2" s="4"/>
      <c r="R2" s="4"/>
      <c r="S2" s="4"/>
      <c r="T2" s="4"/>
      <c r="U2" s="4"/>
      <c r="V2" s="4"/>
      <c r="X2" s="680" t="s">
        <v>799</v>
      </c>
      <c r="Y2" s="680"/>
    </row>
    <row r="3" spans="1:28" ht="15" customHeight="1">
      <c r="C3" s="822" t="s">
        <v>800</v>
      </c>
      <c r="D3" s="823"/>
      <c r="E3" s="823"/>
      <c r="F3" s="823"/>
      <c r="G3" s="823"/>
      <c r="H3" s="823"/>
      <c r="I3" s="823"/>
      <c r="J3" s="823"/>
      <c r="K3" s="823"/>
      <c r="L3" s="823"/>
      <c r="M3" s="823"/>
      <c r="N3" s="823"/>
      <c r="O3" s="823"/>
      <c r="P3" s="823"/>
      <c r="Q3" s="823"/>
      <c r="R3" s="823"/>
      <c r="S3" s="823"/>
      <c r="T3" s="823"/>
      <c r="U3" s="823"/>
      <c r="V3" s="823"/>
      <c r="X3" s="1" t="s">
        <v>801</v>
      </c>
      <c r="Y3" s="1" t="s">
        <v>801</v>
      </c>
    </row>
    <row r="4" spans="1:28" ht="25.2" customHeight="1">
      <c r="B4" s="681" t="s">
        <v>802</v>
      </c>
      <c r="C4" s="682" t="s">
        <v>803</v>
      </c>
      <c r="D4" s="682" t="s">
        <v>341</v>
      </c>
      <c r="E4" s="682" t="s">
        <v>804</v>
      </c>
      <c r="F4" s="682" t="s">
        <v>805</v>
      </c>
      <c r="G4" s="682" t="s">
        <v>806</v>
      </c>
      <c r="H4" s="682" t="s">
        <v>807</v>
      </c>
      <c r="I4" s="682" t="s">
        <v>808</v>
      </c>
      <c r="J4" s="682" t="s">
        <v>809</v>
      </c>
      <c r="K4" s="682"/>
      <c r="L4" s="682" t="s">
        <v>810</v>
      </c>
      <c r="M4" s="682" t="s">
        <v>811</v>
      </c>
      <c r="N4" s="682" t="s">
        <v>812</v>
      </c>
      <c r="O4" s="682" t="s">
        <v>813</v>
      </c>
      <c r="P4" s="682" t="s">
        <v>814</v>
      </c>
      <c r="Q4" s="682" t="s">
        <v>815</v>
      </c>
      <c r="R4" s="682" t="s">
        <v>816</v>
      </c>
      <c r="S4" s="682" t="s">
        <v>817</v>
      </c>
      <c r="T4" s="682" t="s">
        <v>818</v>
      </c>
      <c r="U4" s="682" t="s">
        <v>819</v>
      </c>
      <c r="V4" s="682" t="s">
        <v>820</v>
      </c>
      <c r="W4" s="235" t="s">
        <v>821</v>
      </c>
      <c r="X4" s="682" t="s">
        <v>822</v>
      </c>
      <c r="Y4" s="682" t="s">
        <v>823</v>
      </c>
      <c r="Z4" s="631" t="s">
        <v>824</v>
      </c>
      <c r="AA4" s="503" t="s">
        <v>825</v>
      </c>
      <c r="AB4" s="637" t="s">
        <v>826</v>
      </c>
    </row>
    <row r="5" spans="1:28" ht="14.4" outlineLevel="1">
      <c r="A5" s="4"/>
      <c r="B5" s="655">
        <f>IF($C5="","",(Inputs!$C$22-('Format Engine'!$H$22-3))+IF($C5&lt;='Format Engine'!$H$18,0,IF($C5&lt;='Format Engine'!$H$19,1,IF($C5&lt;='Format Engine'!$H$20,2,3))))</f>
      </c>
      <c r="C5" s="350">
        <f>IF(ROW()-4&lt;='Format Engine'!$H$13,ROW()-4,"")</f>
      </c>
      <c r="D5" s="573" cm="1">
        <f t="array" ref="D5">IF($C5="","",IF(OR($C5=1,$C5='Format Engine'!$H$18+1,$C5='Format Engine'!$H$19+1,$C5='Format Engine'!$H$20+1),INDEX(Inputs!$C$26:$C$29,IF($C5&lt;='Format Engine'!$H$18,1,IF($C5&lt;='Format Engine'!$H$19,2,IF($C5&lt;='Format Engine'!$H$20,3,4)))),H4+TIME(0,$C$38,0)))</f>
      </c>
      <c r="E5" s="344">
        <f>IF($C5="","",D5+TIME(0,$C$35,0))</f>
      </c>
      <c r="F5" s="344">
        <f>IF($C5="","",E5+TIME(0,$C$36/2,0))</f>
      </c>
      <c r="G5" s="344">
        <f>IF($C5="","",F5+TIME(0,$C$37,0))</f>
      </c>
      <c r="H5" s="344">
        <f>IF($C5="","",G5+TIME(0,$C$36/2,0)+TIME(0,$C$38,0))</f>
      </c>
      <c r="I5" s="350" cm="1">
        <f t="array" ref="I5">IF($C5="","",INDEX(_xlfn.ANCHORARRAY('Format Engine'!$J$23),$C5,2))</f>
      </c>
      <c r="J5" s="350" cm="1">
        <f t="array" ref="J5">IF($C5="","",INDEX(_xlfn.ANCHORARRAY('Format Engine'!$J$23),$C5,3))</f>
      </c>
      <c r="K5" s="350" cm="1">
        <f t="array" ref="K5">IF($C5="","",IF(INDEX(_xlfn.ANCHORARRAY('Format Engine'!$J$23),$C5,6)=0,"",INDEX(_xlfn.ANCHORARRAY('Format Engine'!$J$23),$C5,6)))</f>
      </c>
      <c r="L5" s="350" cm="1">
        <f t="array" ref="L5">IF($C5="","",INDEX(_xlfn.ANCHORARRAY('Format Engine'!$J$23),$C5,4))</f>
      </c>
      <c r="M5" s="350" cm="1">
        <f t="array" ref="M5">IF($C5="","",INDEX(_xlfn.ANCHORARRAY('Format Engine'!$J$23),$C5,5))</f>
      </c>
      <c r="N5" s="350">
        <f>IF($C5="","",IF($J5="P",IFERROR(INDEX('Standings Engine'!$A$4:$A$16,MATCH($L5,'Standings Engine'!$J$4:$J$16,0)),"TBD"),IFERROR(INDEX('Teams Master'!$C$2:$C$14,MATCH($L5,'Teams Master'!$E$2:$E$14,0)),"TBD")))</f>
      </c>
      <c r="O5" s="350">
        <f>IF($C5="","",IF($J5="P",IFERROR(INDEX('Standings Engine'!$A$4:$A$16,MATCH($M5,'Standings Engine'!$J$4:$J$16,0)),"TBD"),IFERROR(INDEX('Teams Master'!$C$2:$C$14,MATCH($M5,'Teams Master'!$E$2:$E$14,0)),"TBD")))</f>
      </c>
      <c r="P5" s="186" t="s">
        <v>827</v>
      </c>
      <c r="Q5" s="350">
        <f>IF($C5="","",IFERROR(INDEX(Rankings!$E$25:$E$37,MATCH(N5,Rankings!$B$25:$B$37,0)),"TBD"))</f>
      </c>
      <c r="R5" s="350">
        <f>IF($C5="","",IFERROR(IF(INDEX(Rankings!$E$25:$E$37,MATCH(O5,Rankings!$B$25:$B$37,0))=Q5,INDEX(Rankings!$F$25:$F$37,MATCH(O5,Rankings!$B$25:$B$37,0)),INDEX(Rankings!$E$25:$E$37,MATCH(O5,Rankings!$B$25:$B$37,0))),"TBD"))</f>
      </c>
      <c r="S5" s="683">
        <v>27</v>
      </c>
      <c r="T5" s="683">
        <v>24</v>
      </c>
      <c r="U5" s="186">
        <f>IF($C5="","",IF(S5=0,0,IF(S5&gt;T5,2,IF(S5=T5,1,0))))</f>
      </c>
      <c r="V5" s="643">
        <f>IF($C5="","",IF(T5=0,0,IF(U5=2,0,IF(U5=1,1,2))))</f>
      </c>
      <c r="W5" s="644">
        <f t="shared" ref="W5:W31" si="0">SUM(U5:V5)</f>
      </c>
      <c r="X5" s="645" t="s">
        <v>828</v>
      </c>
      <c r="Y5" s="645" t="s">
        <v>829</v>
      </c>
      <c r="Z5" s="645" t="s">
        <v>830</v>
      </c>
      <c r="AA5" s="645" t="s">
        <v>610</v>
      </c>
      <c r="AB5" s="646">
        <f>IF($N5="","",_xlfn.LET(_xlpm.pairCal,IFERROR(INDEX('Referees Master'!$U$4:$U$8,MATCH($P5,'Referees Master'!$T$4:$T$8,0)),""),_xlpm.isCalGame,OR(ISNUMBER(SEARCH("HAR",$N5)),ISNUMBER(SEARCH("HAR",$O5))),IF(_xlpm.pairCal="","n/a",IF(AND(_xlpm.pairCal="Yes",_xlpm.isCalGame),"⚠ CONFLICT","OK"))))</f>
      </c>
    </row>
    <row r="6" spans="1:28" ht="14.4" outlineLevel="1">
      <c r="A6" s="4"/>
      <c r="B6" s="652">
        <f>IF($C6="","",(Inputs!$C$22-('Format Engine'!$H$22-3))+IF($C6&lt;='Format Engine'!$H$18,0,IF($C6&lt;='Format Engine'!$H$19,1,IF($C6&lt;='Format Engine'!$H$20,2,3))))</f>
      </c>
      <c r="C6" s="653">
        <f>IF(ROW()-4&lt;='Format Engine'!$H$13,ROW()-4,"")</f>
      </c>
      <c r="D6" s="654" cm="1">
        <f t="array" ref="D6">IF($C6="","",IF(OR($C6=1,$C6='Format Engine'!$H$18+1,$C6='Format Engine'!$H$19+1,$C6='Format Engine'!$H$20+1),INDEX(Inputs!$C$26:$C$29,IF($C6&lt;='Format Engine'!$H$18,1,IF($C6&lt;='Format Engine'!$H$19,2,IF($C6&lt;='Format Engine'!$H$20,3,4)))),H5+TIME(0,$C$38,0)))</f>
      </c>
      <c r="E6" s="530">
        <f t="shared" ref="E6:E31" si="1">IF($C6="","",D6+TIME(0,$C$35,0))</f>
      </c>
      <c r="F6" s="530">
        <f t="shared" ref="F6:F31" si="2">IF($C6="","",E6+TIME(0,$C$36/2,0))</f>
      </c>
      <c r="G6" s="530">
        <f t="shared" ref="G6:G31" si="3">IF($C6="","",F6+TIME(0,$C$37,0))</f>
      </c>
      <c r="H6" s="530">
        <f t="shared" ref="H6:H31" si="4">IF($C6="","",G6+TIME(0,$C$36/2,0)+TIME(0,$C$38,0))</f>
      </c>
      <c r="I6" s="351" cm="1">
        <f t="array" ref="I6">IF($C6="","",INDEX(_xlfn.ANCHORARRAY('Format Engine'!$J$23),$C6,2))</f>
      </c>
      <c r="J6" s="351" cm="1">
        <f t="array" ref="J6">IF($C6="","",INDEX(_xlfn.ANCHORARRAY('Format Engine'!$J$23),$C6,3))</f>
      </c>
      <c r="K6" s="351" cm="1">
        <f t="array" ref="K6">IF($C6="","",IF(INDEX(_xlfn.ANCHORARRAY('Format Engine'!$J$23),$C6,6)=0,"",INDEX(_xlfn.ANCHORARRAY('Format Engine'!$J$23),$C6,6)))</f>
      </c>
      <c r="L6" s="351" cm="1">
        <f t="array" ref="L6">IF($C6="","",INDEX(_xlfn.ANCHORARRAY('Format Engine'!$J$23),$C6,4))</f>
      </c>
      <c r="M6" s="351" cm="1">
        <f t="array" ref="M6">IF($C6="","",INDEX(_xlfn.ANCHORARRAY('Format Engine'!$J$23),$C6,5))</f>
      </c>
      <c r="N6" s="351">
        <f>IF($C6="","",IF($J6="P",IFERROR(INDEX('Standings Engine'!$A$4:$A$16,MATCH($L6,'Standings Engine'!$J$4:$J$16,0)),"TBD"),IFERROR(INDEX('Teams Master'!$C$2:$C$14,MATCH($L6,'Teams Master'!$E$2:$E$14,0)),"TBD")))</f>
      </c>
      <c r="O6" s="351">
        <f>IF($C6="","",IF($J6="P",IFERROR(INDEX('Standings Engine'!$A$4:$A$16,MATCH($M6,'Standings Engine'!$J$4:$J$16,0)),"TBD"),IFERROR(INDEX('Teams Master'!$C$2:$C$14,MATCH($M6,'Teams Master'!$E$2:$E$14,0)),"TBD")))</f>
      </c>
      <c r="P6" s="187" t="s">
        <v>831</v>
      </c>
      <c r="Q6" s="351">
        <f>IF($C6="","",IFERROR(INDEX(Rankings!$E$25:$E$37,MATCH(N6,Rankings!$B$25:$B$37,0)),"TBD"))</f>
      </c>
      <c r="R6" s="351">
        <f>IF($C6="","",IFERROR(IF(INDEX(Rankings!$E$25:$E$37,MATCH(O6,Rankings!$B$25:$B$37,0))=Q6,INDEX(Rankings!$F$25:$F$37,MATCH(O6,Rankings!$B$25:$B$37,0)),INDEX(Rankings!$E$25:$E$37,MATCH(O6,Rankings!$B$25:$B$37,0))),"TBD"))</f>
      </c>
      <c r="S6" s="684">
        <v>31</v>
      </c>
      <c r="T6" s="684">
        <v>28</v>
      </c>
      <c r="U6" s="187">
        <f t="shared" ref="U6:U31" si="5">IF($C6="","",IF(S6=0,0,IF(S6&gt;T6,2,IF(S6=T6,1,0))))</f>
      </c>
      <c r="V6" s="647">
        <f t="shared" ref="V6:V31" si="6">IF($C6="","",IF(T6=0,0,IF(U6=2,0,IF(U6=1,1,2))))</f>
      </c>
      <c r="W6" s="648">
        <f t="shared" si="0"/>
      </c>
      <c r="X6" s="648" t="s">
        <v>832</v>
      </c>
      <c r="Y6" s="648" t="s">
        <v>833</v>
      </c>
      <c r="Z6" s="648" t="s">
        <v>834</v>
      </c>
      <c r="AA6" s="648" t="s">
        <v>610</v>
      </c>
      <c r="AB6" s="649">
        <f>IF($N6="","",_xlfn.LET(_xlpm.pairCal,IFERROR(INDEX('Referees Master'!$U$4:$U$8,MATCH($P6,'Referees Master'!$T$4:$T$8,0)),""),_xlpm.isCalGame,OR(ISNUMBER(SEARCH("HAR",$N6)),ISNUMBER(SEARCH("HAR",$O6))),IF(_xlpm.pairCal="","n/a",IF(AND(_xlpm.pairCal="Yes",_xlpm.isCalGame),"⚠ CONFLICT","OK"))))</f>
      </c>
    </row>
    <row r="7" spans="1:28" ht="14.4" outlineLevel="1">
      <c r="A7" s="4"/>
      <c r="B7" s="655">
        <f>IF($C7="","",(Inputs!$C$22-('Format Engine'!$H$22-3))+IF($C7&lt;='Format Engine'!$H$18,0,IF($C7&lt;='Format Engine'!$H$19,1,IF($C7&lt;='Format Engine'!$H$20,2,3))))</f>
      </c>
      <c r="C7" s="350">
        <f>IF(ROW()-4&lt;='Format Engine'!$H$13,ROW()-4,"")</f>
      </c>
      <c r="D7" s="573" cm="1">
        <f t="array" ref="D7">IF($C7="","",IF(OR($C7=1,$C7='Format Engine'!$H$18+1,$C7='Format Engine'!$H$19+1,$C7='Format Engine'!$H$20+1),INDEX(Inputs!$C$26:$C$29,IF($C7&lt;='Format Engine'!$H$18,1,IF($C7&lt;='Format Engine'!$H$19,2,IF($C7&lt;='Format Engine'!$H$20,3,4)))),H6+TIME(0,$C$38,0)))</f>
      </c>
      <c r="E7" s="344">
        <f t="shared" si="1"/>
      </c>
      <c r="F7" s="344">
        <f t="shared" si="2"/>
      </c>
      <c r="G7" s="344">
        <f t="shared" si="3"/>
      </c>
      <c r="H7" s="344">
        <f t="shared" si="4"/>
      </c>
      <c r="I7" s="350" cm="1">
        <f t="array" ref="I7">IF($C7="","",INDEX(_xlfn.ANCHORARRAY('Format Engine'!$J$23),$C7,2))</f>
      </c>
      <c r="J7" s="350" cm="1">
        <f t="array" ref="J7">IF($C7="","",INDEX(_xlfn.ANCHORARRAY('Format Engine'!$J$23),$C7,3))</f>
      </c>
      <c r="K7" s="350" cm="1">
        <f t="array" ref="K7">IF($C7="","",IF(INDEX(_xlfn.ANCHORARRAY('Format Engine'!$J$23),$C7,6)=0,"",INDEX(_xlfn.ANCHORARRAY('Format Engine'!$J$23),$C7,6)))</f>
      </c>
      <c r="L7" s="350" cm="1">
        <f t="array" ref="L7">IF($C7="","",INDEX(_xlfn.ANCHORARRAY('Format Engine'!$J$23),$C7,4))</f>
      </c>
      <c r="M7" s="350" cm="1">
        <f t="array" ref="M7">IF($C7="","",INDEX(_xlfn.ANCHORARRAY('Format Engine'!$J$23),$C7,5))</f>
      </c>
      <c r="N7" s="350">
        <f>IF($C7="","",IF($J7="P",IFERROR(INDEX('Standings Engine'!$A$4:$A$16,MATCH($L7,'Standings Engine'!$J$4:$J$16,0)),"TBD"),IFERROR(INDEX('Teams Master'!$C$2:$C$14,MATCH($L7,'Teams Master'!$E$2:$E$14,0)),"TBD")))</f>
      </c>
      <c r="O7" s="350">
        <f>IF($C7="","",IF($J7="P",IFERROR(INDEX('Standings Engine'!$A$4:$A$16,MATCH($M7,'Standings Engine'!$J$4:$J$16,0)),"TBD"),IFERROR(INDEX('Teams Master'!$C$2:$C$14,MATCH($M7,'Teams Master'!$E$2:$E$14,0)),"TBD")))</f>
      </c>
      <c r="P7" s="186" t="s">
        <v>835</v>
      </c>
      <c r="Q7" s="350">
        <f>IF($C7="","",IFERROR(INDEX(Rankings!$E$25:$E$37,MATCH(N7,Rankings!$B$25:$B$37,0)),"TBD"))</f>
      </c>
      <c r="R7" s="350">
        <f>IF($C7="","",IFERROR(IF(INDEX(Rankings!$E$25:$E$37,MATCH(O7,Rankings!$B$25:$B$37,0))=Q7,INDEX(Rankings!$F$25:$F$37,MATCH(O7,Rankings!$B$25:$B$37,0)),INDEX(Rankings!$E$25:$E$37,MATCH(O7,Rankings!$B$25:$B$37,0))),"TBD"))</f>
      </c>
      <c r="S7" s="683">
        <v>29</v>
      </c>
      <c r="T7" s="683">
        <v>26</v>
      </c>
      <c r="U7" s="186">
        <f t="shared" si="5"/>
      </c>
      <c r="V7" s="650">
        <f t="shared" si="6"/>
      </c>
      <c r="W7" s="651">
        <f t="shared" si="0"/>
      </c>
      <c r="X7" s="651" t="s">
        <v>836</v>
      </c>
      <c r="Y7" s="651" t="s">
        <v>837</v>
      </c>
      <c r="Z7" s="651" t="s">
        <v>838</v>
      </c>
      <c r="AA7" s="651" t="s">
        <v>610</v>
      </c>
      <c r="AB7" s="649">
        <f>IF($N7="","",_xlfn.LET(_xlpm.pairCal,IFERROR(INDEX('Referees Master'!$U$4:$U$8,MATCH($P7,'Referees Master'!$T$4:$T$8,0)),""),_xlpm.isCalGame,OR(ISNUMBER(SEARCH("HAR",$N7)),ISNUMBER(SEARCH("HAR",$O7))),IF(_xlpm.pairCal="","n/a",IF(AND(_xlpm.pairCal="Yes",_xlpm.isCalGame),"⚠ CONFLICT","OK"))))</f>
      </c>
    </row>
    <row r="8" spans="1:28" ht="14.4" outlineLevel="1">
      <c r="A8" s="4"/>
      <c r="B8" s="658">
        <f>IF($C8="","",(Inputs!$C$22-('Format Engine'!$H$22-3))+IF($C8&lt;='Format Engine'!$H$18,0,IF($C8&lt;='Format Engine'!$H$19,1,IF($C8&lt;='Format Engine'!$H$20,2,3))))</f>
      </c>
      <c r="C8" s="351">
        <f>IF(ROW()-4&lt;='Format Engine'!$H$13,ROW()-4,"")</f>
      </c>
      <c r="D8" s="574" cm="1">
        <f t="array" ref="D8">IF($C8="","",IF(OR($C8=1,$C8='Format Engine'!$H$18+1,$C8='Format Engine'!$H$19+1,$C8='Format Engine'!$H$20+1),INDEX(Inputs!$C$26:$C$29,IF($C8&lt;='Format Engine'!$H$18,1,IF($C8&lt;='Format Engine'!$H$19,2,IF($C8&lt;='Format Engine'!$H$20,3,4)))),H7+TIME(0,$C$38,0)))</f>
      </c>
      <c r="E8" s="345">
        <f t="shared" si="1"/>
      </c>
      <c r="F8" s="345">
        <f t="shared" si="2"/>
      </c>
      <c r="G8" s="345">
        <f t="shared" si="3"/>
      </c>
      <c r="H8" s="345">
        <f t="shared" si="4"/>
      </c>
      <c r="I8" s="351" cm="1">
        <f t="array" ref="I8">IF($C8="","",INDEX(_xlfn.ANCHORARRAY('Format Engine'!$J$23),$C8,2))</f>
      </c>
      <c r="J8" s="351" cm="1">
        <f t="array" ref="J8">IF($C8="","",INDEX(_xlfn.ANCHORARRAY('Format Engine'!$J$23),$C8,3))</f>
      </c>
      <c r="K8" s="351" cm="1">
        <f t="array" ref="K8">IF($C8="","",IF(INDEX(_xlfn.ANCHORARRAY('Format Engine'!$J$23),$C8,6)=0,"",INDEX(_xlfn.ANCHORARRAY('Format Engine'!$J$23),$C8,6)))</f>
      </c>
      <c r="L8" s="351" cm="1">
        <f t="array" ref="L8">IF($C8="","",INDEX(_xlfn.ANCHORARRAY('Format Engine'!$J$23),$C8,4))</f>
      </c>
      <c r="M8" s="351" cm="1">
        <f t="array" ref="M8">IF($C8="","",INDEX(_xlfn.ANCHORARRAY('Format Engine'!$J$23),$C8,5))</f>
      </c>
      <c r="N8" s="351">
        <f>IF($C8="","",IF($J8="P",IFERROR(INDEX('Standings Engine'!$A$4:$A$16,MATCH($L8,'Standings Engine'!$J$4:$J$16,0)),"TBD"),IFERROR(INDEX('Teams Master'!$C$2:$C$14,MATCH($L8,'Teams Master'!$E$2:$E$14,0)),"TBD")))</f>
      </c>
      <c r="O8" s="351">
        <f>IF($C8="","",IF($J8="P",IFERROR(INDEX('Standings Engine'!$A$4:$A$16,MATCH($M8,'Standings Engine'!$J$4:$J$16,0)),"TBD"),IFERROR(INDEX('Teams Master'!$C$2:$C$14,MATCH($M8,'Teams Master'!$E$2:$E$14,0)),"TBD")))</f>
      </c>
      <c r="P8" s="187" t="s">
        <v>839</v>
      </c>
      <c r="Q8" s="351">
        <f>IF($C8="","",IFERROR(INDEX(Rankings!$E$25:$E$37,MATCH(N8,Rankings!$B$25:$B$37,0)),"TBD"))</f>
      </c>
      <c r="R8" s="351">
        <f>IF($C8="","",IFERROR(IF(INDEX(Rankings!$E$25:$E$37,MATCH(O8,Rankings!$B$25:$B$37,0))=Q8,INDEX(Rankings!$F$25:$F$37,MATCH(O8,Rankings!$B$25:$B$37,0)),INDEX(Rankings!$E$25:$E$37,MATCH(O8,Rankings!$B$25:$B$37,0))),"TBD"))</f>
      </c>
      <c r="S8" s="684">
        <v>23</v>
      </c>
      <c r="T8" s="684">
        <v>25</v>
      </c>
      <c r="U8" s="187">
        <f t="shared" si="5"/>
      </c>
      <c r="V8" s="647">
        <f t="shared" si="6"/>
      </c>
      <c r="W8" s="648">
        <f t="shared" si="0"/>
      </c>
      <c r="X8" s="648" t="s">
        <v>840</v>
      </c>
      <c r="Y8" s="648" t="s">
        <v>841</v>
      </c>
      <c r="Z8" s="648" t="s">
        <v>842</v>
      </c>
      <c r="AA8" s="648" t="s">
        <v>613</v>
      </c>
      <c r="AB8" s="649">
        <f>IF($N8="","",_xlfn.LET(_xlpm.pairCal,IFERROR(INDEX('Referees Master'!$U$4:$U$8,MATCH($P8,'Referees Master'!$T$4:$T$8,0)),""),_xlpm.isCalGame,OR(ISNUMBER(SEARCH("HAR",$N8)),ISNUMBER(SEARCH("HAR",$O8))),IF(_xlpm.pairCal="","n/a",IF(AND(_xlpm.pairCal="Yes",_xlpm.isCalGame),"⚠ CONFLICT","OK"))))</f>
      </c>
    </row>
    <row r="9" spans="1:28" ht="14.4" outlineLevel="1">
      <c r="A9" s="4"/>
      <c r="B9" s="655">
        <f>IF($C9="","",(Inputs!$C$22-('Format Engine'!$H$22-3))+IF($C9&lt;='Format Engine'!$H$18,0,IF($C9&lt;='Format Engine'!$H$19,1,IF($C9&lt;='Format Engine'!$H$20,2,3))))</f>
      </c>
      <c r="C9" s="350">
        <f>IF(ROW()-4&lt;='Format Engine'!$H$13,ROW()-4,"")</f>
      </c>
      <c r="D9" s="573" cm="1">
        <f t="array" ref="D9">IF($C9="","",IF(OR($C9=1,$C9='Format Engine'!$H$18+1,$C9='Format Engine'!$H$19+1,$C9='Format Engine'!$H$20+1),INDEX(Inputs!$C$26:$C$29,IF($C9&lt;='Format Engine'!$H$18,1,IF($C9&lt;='Format Engine'!$H$19,2,IF($C9&lt;='Format Engine'!$H$20,3,4)))),H8+TIME(0,$C$38,0)))</f>
      </c>
      <c r="E9" s="344">
        <f t="shared" si="1"/>
      </c>
      <c r="F9" s="344">
        <f t="shared" si="2"/>
      </c>
      <c r="G9" s="344">
        <f t="shared" si="3"/>
      </c>
      <c r="H9" s="344">
        <f t="shared" si="4"/>
      </c>
      <c r="I9" s="350" cm="1">
        <f t="array" ref="I9">IF($C9="","",INDEX(_xlfn.ANCHORARRAY('Format Engine'!$J$23),$C9,2))</f>
      </c>
      <c r="J9" s="350" cm="1">
        <f t="array" ref="J9">IF($C9="","",INDEX(_xlfn.ANCHORARRAY('Format Engine'!$J$23),$C9,3))</f>
      </c>
      <c r="K9" s="350" cm="1">
        <f t="array" ref="K9">IF($C9="","",IF(INDEX(_xlfn.ANCHORARRAY('Format Engine'!$J$23),$C9,6)=0,"",INDEX(_xlfn.ANCHORARRAY('Format Engine'!$J$23),$C9,6)))</f>
      </c>
      <c r="L9" s="350" cm="1">
        <f t="array" ref="L9">IF($C9="","",INDEX(_xlfn.ANCHORARRAY('Format Engine'!$J$23),$C9,4))</f>
      </c>
      <c r="M9" s="350" cm="1">
        <f t="array" ref="M9">IF($C9="","",INDEX(_xlfn.ANCHORARRAY('Format Engine'!$J$23),$C9,5))</f>
      </c>
      <c r="N9" s="350">
        <f>IF($C9="","",IF($J9="P",IFERROR(INDEX('Standings Engine'!$A$4:$A$16,MATCH($L9,'Standings Engine'!$J$4:$J$16,0)),"TBD"),IFERROR(INDEX('Teams Master'!$C$2:$C$14,MATCH($L9,'Teams Master'!$E$2:$E$14,0)),"TBD")))</f>
      </c>
      <c r="O9" s="350">
        <f>IF($C9="","",IF($J9="P",IFERROR(INDEX('Standings Engine'!$A$4:$A$16,MATCH($M9,'Standings Engine'!$J$4:$J$16,0)),"TBD"),IFERROR(INDEX('Teams Master'!$C$2:$C$14,MATCH($M9,'Teams Master'!$E$2:$E$14,0)),"TBD")))</f>
      </c>
      <c r="P9" s="186" t="s">
        <v>843</v>
      </c>
      <c r="Q9" s="350">
        <f>IF($C9="","",IFERROR(INDEX(Rankings!$E$25:$E$37,MATCH(N9,Rankings!$B$25:$B$37,0)),"TBD"))</f>
      </c>
      <c r="R9" s="350">
        <f>IF($C9="","",IFERROR(IF(INDEX(Rankings!$E$25:$E$37,MATCH(O9,Rankings!$B$25:$B$37,0))=Q9,INDEX(Rankings!$F$25:$F$37,MATCH(O9,Rankings!$B$25:$B$37,0)),INDEX(Rankings!$E$25:$E$37,MATCH(O9,Rankings!$B$25:$B$37,0))),"TBD"))</f>
      </c>
      <c r="S9" s="683">
        <v>33</v>
      </c>
      <c r="T9" s="683">
        <v>27</v>
      </c>
      <c r="U9" s="186">
        <f t="shared" si="5"/>
      </c>
      <c r="V9" s="650">
        <f t="shared" si="6"/>
      </c>
      <c r="W9" s="651">
        <f t="shared" si="0"/>
      </c>
      <c r="X9" s="651" t="s">
        <v>844</v>
      </c>
      <c r="Y9" s="651" t="s">
        <v>845</v>
      </c>
      <c r="Z9" s="651" t="s">
        <v>846</v>
      </c>
      <c r="AA9" s="651" t="s">
        <v>613</v>
      </c>
      <c r="AB9" s="649">
        <f>IF($N9="","",_xlfn.LET(_xlpm.pairCal,IFERROR(INDEX('Referees Master'!$U$4:$U$8,MATCH($P9,'Referees Master'!$T$4:$T$8,0)),""),_xlpm.isCalGame,OR(ISNUMBER(SEARCH("HAR",$N9)),ISNUMBER(SEARCH("HAR",$O9))),IF(_xlpm.pairCal="","n/a",IF(AND(_xlpm.pairCal="Yes",_xlpm.isCalGame),"⚠ CONFLICT","OK"))))</f>
      </c>
    </row>
    <row r="10" spans="1:28" ht="14.4" outlineLevel="1">
      <c r="A10" s="4"/>
      <c r="B10" s="658">
        <f>IF($C10="","",(Inputs!$C$22-('Format Engine'!$H$22-3))+IF($C10&lt;='Format Engine'!$H$18,0,IF($C10&lt;='Format Engine'!$H$19,1,IF($C10&lt;='Format Engine'!$H$20,2,3))))</f>
      </c>
      <c r="C10" s="351">
        <f>IF(ROW()-4&lt;='Format Engine'!$H$13,ROW()-4,"")</f>
      </c>
      <c r="D10" s="574" cm="1">
        <f t="array" ref="D10">IF($C10="","",IF(OR($C10=1,$C10='Format Engine'!$H$18+1,$C10='Format Engine'!$H$19+1,$C10='Format Engine'!$H$20+1),INDEX(Inputs!$C$26:$C$29,IF($C10&lt;='Format Engine'!$H$18,1,IF($C10&lt;='Format Engine'!$H$19,2,IF($C10&lt;='Format Engine'!$H$20,3,4)))),H9+TIME(0,$C$38,0)))</f>
      </c>
      <c r="E10" s="345">
        <f t="shared" si="1"/>
      </c>
      <c r="F10" s="345">
        <f t="shared" si="2"/>
      </c>
      <c r="G10" s="345">
        <f t="shared" si="3"/>
      </c>
      <c r="H10" s="345">
        <f t="shared" si="4"/>
      </c>
      <c r="I10" s="351" cm="1">
        <f t="array" ref="I10">IF($C10="","",INDEX(_xlfn.ANCHORARRAY('Format Engine'!$J$23),$C10,2))</f>
      </c>
      <c r="J10" s="351" cm="1">
        <f t="array" ref="J10">IF($C10="","",INDEX(_xlfn.ANCHORARRAY('Format Engine'!$J$23),$C10,3))</f>
      </c>
      <c r="K10" s="351" cm="1">
        <f t="array" ref="K10">IF($C10="","",IF(INDEX(_xlfn.ANCHORARRAY('Format Engine'!$J$23),$C10,6)=0,"",INDEX(_xlfn.ANCHORARRAY('Format Engine'!$J$23),$C10,6)))</f>
      </c>
      <c r="L10" s="351" cm="1">
        <f t="array" ref="L10">IF($C10="","",INDEX(_xlfn.ANCHORARRAY('Format Engine'!$J$23),$C10,4))</f>
      </c>
      <c r="M10" s="351" cm="1">
        <f t="array" ref="M10">IF($C10="","",INDEX(_xlfn.ANCHORARRAY('Format Engine'!$J$23),$C10,5))</f>
      </c>
      <c r="N10" s="351">
        <f>IF($C10="","",IF($J10="P",IFERROR(INDEX('Standings Engine'!$A$4:$A$16,MATCH($L10,'Standings Engine'!$J$4:$J$16,0)),"TBD"),IFERROR(INDEX('Teams Master'!$C$2:$C$14,MATCH($L10,'Teams Master'!$E$2:$E$14,0)),"TBD")))</f>
      </c>
      <c r="O10" s="351">
        <f>IF($C10="","",IF($J10="P",IFERROR(INDEX('Standings Engine'!$A$4:$A$16,MATCH($M10,'Standings Engine'!$J$4:$J$16,0)),"TBD"),IFERROR(INDEX('Teams Master'!$C$2:$C$14,MATCH($M10,'Teams Master'!$E$2:$E$14,0)),"TBD")))</f>
      </c>
      <c r="P10" s="187" t="s">
        <v>827</v>
      </c>
      <c r="Q10" s="351">
        <f>IF($C10="","",IFERROR(INDEX(Rankings!$E$25:$E$37,MATCH(N10,Rankings!$B$25:$B$37,0)),"TBD"))</f>
      </c>
      <c r="R10" s="351">
        <f>IF($C10="","",IFERROR(IF(INDEX(Rankings!$E$25:$E$37,MATCH(O10,Rankings!$B$25:$B$37,0))=Q10,INDEX(Rankings!$F$25:$F$37,MATCH(O10,Rankings!$B$25:$B$37,0)),INDEX(Rankings!$E$25:$E$37,MATCH(O10,Rankings!$B$25:$B$37,0))),"TBD"))</f>
      </c>
      <c r="S10" s="684">
        <v>24</v>
      </c>
      <c r="T10" s="684">
        <v>30</v>
      </c>
      <c r="U10" s="187">
        <f t="shared" si="5"/>
      </c>
      <c r="V10" s="647">
        <f t="shared" si="6"/>
      </c>
      <c r="W10" s="648">
        <f t="shared" si="0"/>
      </c>
      <c r="X10" s="648" t="s">
        <v>847</v>
      </c>
      <c r="Y10" s="648" t="s">
        <v>848</v>
      </c>
      <c r="Z10" s="648" t="s">
        <v>849</v>
      </c>
      <c r="AA10" s="648" t="s">
        <v>613</v>
      </c>
      <c r="AB10" s="649">
        <f>IF($N10="","",_xlfn.LET(_xlpm.pairCal,IFERROR(INDEX('Referees Master'!$U$4:$U$8,MATCH($P10,'Referees Master'!$T$4:$T$8,0)),""),_xlpm.isCalGame,OR(ISNUMBER(SEARCH("HAR",$N10)),ISNUMBER(SEARCH("HAR",$O10))),IF(_xlpm.pairCal="","n/a",IF(AND(_xlpm.pairCal="Yes",_xlpm.isCalGame),"⚠ CONFLICT","OK"))))</f>
      </c>
    </row>
    <row r="11" spans="1:28" ht="14.4" outlineLevel="1">
      <c r="A11" s="4"/>
      <c r="B11" s="655">
        <f>IF($C11="","",(Inputs!$C$22-('Format Engine'!$H$22-3))+IF($C11&lt;='Format Engine'!$H$18,0,IF($C11&lt;='Format Engine'!$H$19,1,IF($C11&lt;='Format Engine'!$H$20,2,3))))</f>
      </c>
      <c r="C11" s="350">
        <f>IF(ROW()-4&lt;='Format Engine'!$H$13,ROW()-4,"")</f>
      </c>
      <c r="D11" s="573" cm="1">
        <f t="array" ref="D11">IF($C11="","",IF(OR($C11=1,$C11='Format Engine'!$H$18+1,$C11='Format Engine'!$H$19+1,$C11='Format Engine'!$H$20+1),INDEX(Inputs!$C$26:$C$29,IF($C11&lt;='Format Engine'!$H$18,1,IF($C11&lt;='Format Engine'!$H$19,2,IF($C11&lt;='Format Engine'!$H$20,3,4)))),H10+TIME(0,$C$38,0)))</f>
      </c>
      <c r="E11" s="344">
        <f t="shared" si="1"/>
      </c>
      <c r="F11" s="344">
        <f t="shared" si="2"/>
      </c>
      <c r="G11" s="344">
        <f t="shared" si="3"/>
      </c>
      <c r="H11" s="344">
        <f t="shared" si="4"/>
      </c>
      <c r="I11" s="350" cm="1">
        <f t="array" ref="I11">IF($C11="","",INDEX(_xlfn.ANCHORARRAY('Format Engine'!$J$23),$C11,2))</f>
      </c>
      <c r="J11" s="350" cm="1">
        <f t="array" ref="J11">IF($C11="","",INDEX(_xlfn.ANCHORARRAY('Format Engine'!$J$23),$C11,3))</f>
      </c>
      <c r="K11" s="350" cm="1">
        <f t="array" ref="K11">IF($C11="","",IF(INDEX(_xlfn.ANCHORARRAY('Format Engine'!$J$23),$C11,6)=0,"",INDEX(_xlfn.ANCHORARRAY('Format Engine'!$J$23),$C11,6)))</f>
      </c>
      <c r="L11" s="350" cm="1">
        <f t="array" ref="L11">IF($C11="","",INDEX(_xlfn.ANCHORARRAY('Format Engine'!$J$23),$C11,4))</f>
      </c>
      <c r="M11" s="350" cm="1">
        <f t="array" ref="M11">IF($C11="","",INDEX(_xlfn.ANCHORARRAY('Format Engine'!$J$23),$C11,5))</f>
      </c>
      <c r="N11" s="350">
        <f>IF($C11="","",IF($J11="P",IFERROR(INDEX('Standings Engine'!$A$4:$A$16,MATCH($L11,'Standings Engine'!$J$4:$J$16,0)),"TBD"),IFERROR(INDEX('Teams Master'!$C$2:$C$14,MATCH($L11,'Teams Master'!$E$2:$E$14,0)),"TBD")))</f>
      </c>
      <c r="O11" s="350">
        <f>IF($C11="","",IF($J11="P",IFERROR(INDEX('Standings Engine'!$A$4:$A$16,MATCH($M11,'Standings Engine'!$J$4:$J$16,0)),"TBD"),IFERROR(INDEX('Teams Master'!$C$2:$C$14,MATCH($M11,'Teams Master'!$E$2:$E$14,0)),"TBD")))</f>
      </c>
      <c r="P11" s="186" t="s">
        <v>831</v>
      </c>
      <c r="Q11" s="350">
        <f>IF($C11="","",IFERROR(INDEX(Rankings!$E$25:$E$37,MATCH(N11,Rankings!$B$25:$B$37,0)),"TBD"))</f>
      </c>
      <c r="R11" s="350">
        <f>IF($C11="","",IFERROR(IF(INDEX(Rankings!$E$25:$E$37,MATCH(O11,Rankings!$B$25:$B$37,0))=Q11,INDEX(Rankings!$F$25:$F$37,MATCH(O11,Rankings!$B$25:$B$37,0)),INDEX(Rankings!$E$25:$E$37,MATCH(O11,Rankings!$B$25:$B$37,0))),"TBD"))</f>
      </c>
      <c r="S11" s="683">
        <v>28</v>
      </c>
      <c r="T11" s="683">
        <v>21</v>
      </c>
      <c r="U11" s="186">
        <f t="shared" si="5"/>
      </c>
      <c r="V11" s="650">
        <f t="shared" si="6"/>
      </c>
      <c r="W11" s="651">
        <f t="shared" si="0"/>
      </c>
      <c r="X11" s="651" t="s">
        <v>850</v>
      </c>
      <c r="Y11" s="651" t="s">
        <v>851</v>
      </c>
      <c r="Z11" s="651" t="s">
        <v>852</v>
      </c>
      <c r="AA11" s="651" t="s">
        <v>613</v>
      </c>
      <c r="AB11" s="649">
        <f>IF($N11="","",_xlfn.LET(_xlpm.pairCal,IFERROR(INDEX('Referees Master'!$U$4:$U$8,MATCH($P11,'Referees Master'!$T$4:$T$8,0)),""),_xlpm.isCalGame,OR(ISNUMBER(SEARCH("HAR",$N11)),ISNUMBER(SEARCH("HAR",$O11))),IF(_xlpm.pairCal="","n/a",IF(AND(_xlpm.pairCal="Yes",_xlpm.isCalGame),"⚠ CONFLICT","OK"))))</f>
      </c>
    </row>
    <row r="12" spans="1:28" ht="14.4" outlineLevel="1">
      <c r="A12" s="4"/>
      <c r="B12" s="652">
        <f>IF($C12="","",(Inputs!$C$22-('Format Engine'!$H$22-3))+IF($C12&lt;='Format Engine'!$H$18,0,IF($C12&lt;='Format Engine'!$H$19,1,IF($C12&lt;='Format Engine'!$H$20,2,3))))</f>
      </c>
      <c r="C12" s="653">
        <f>IF(ROW()-4&lt;='Format Engine'!$H$13,ROW()-4,"")</f>
      </c>
      <c r="D12" s="654" cm="1">
        <f t="array" ref="D12">IF($C12="","",IF(OR($C12=1,$C12='Format Engine'!$H$18+1,$C12='Format Engine'!$H$19+1,$C12='Format Engine'!$H$20+1),INDEX(Inputs!$C$26:$C$29,IF($C12&lt;='Format Engine'!$H$18,1,IF($C12&lt;='Format Engine'!$H$19,2,IF($C12&lt;='Format Engine'!$H$20,3,4)))),H11+TIME(0,$C$38,0)))</f>
      </c>
      <c r="E12" s="530">
        <f t="shared" si="1"/>
      </c>
      <c r="F12" s="530">
        <f t="shared" si="2"/>
      </c>
      <c r="G12" s="530">
        <f t="shared" si="3"/>
      </c>
      <c r="H12" s="530">
        <f t="shared" si="4"/>
      </c>
      <c r="I12" s="351" cm="1">
        <f t="array" ref="I12">IF($C12="","",INDEX(_xlfn.ANCHORARRAY('Format Engine'!$J$23),$C12,2))</f>
      </c>
      <c r="J12" s="351" cm="1">
        <f t="array" ref="J12">IF($C12="","",INDEX(_xlfn.ANCHORARRAY('Format Engine'!$J$23),$C12,3))</f>
      </c>
      <c r="K12" s="351" cm="1">
        <f t="array" ref="K12">IF($C12="","",IF(INDEX(_xlfn.ANCHORARRAY('Format Engine'!$J$23),$C12,6)=0,"",INDEX(_xlfn.ANCHORARRAY('Format Engine'!$J$23),$C12,6)))</f>
      </c>
      <c r="L12" s="351" cm="1">
        <f t="array" ref="L12">IF($C12="","",INDEX(_xlfn.ANCHORARRAY('Format Engine'!$J$23),$C12,4))</f>
      </c>
      <c r="M12" s="351" cm="1">
        <f t="array" ref="M12">IF($C12="","",INDEX(_xlfn.ANCHORARRAY('Format Engine'!$J$23),$C12,5))</f>
      </c>
      <c r="N12" s="351">
        <f>IF($C12="","",IF($J12="P",IFERROR(INDEX('Standings Engine'!$A$4:$A$16,MATCH($L12,'Standings Engine'!$J$4:$J$16,0)),"TBD"),IFERROR(INDEX('Teams Master'!$C$2:$C$14,MATCH($L12,'Teams Master'!$E$2:$E$14,0)),"TBD")))</f>
      </c>
      <c r="O12" s="351">
        <f>IF($C12="","",IF($J12="P",IFERROR(INDEX('Standings Engine'!$A$4:$A$16,MATCH($M12,'Standings Engine'!$J$4:$J$16,0)),"TBD"),IFERROR(INDEX('Teams Master'!$C$2:$C$14,MATCH($M12,'Teams Master'!$E$2:$E$14,0)),"TBD")))</f>
      </c>
      <c r="P12" s="187" t="s">
        <v>843</v>
      </c>
      <c r="Q12" s="351">
        <f>IF($C12="","",IFERROR(INDEX(Rankings!$E$25:$E$37,MATCH(N12,Rankings!$B$25:$B$37,0)),"TBD"))</f>
      </c>
      <c r="R12" s="351">
        <f>IF($C12="","",IFERROR(IF(INDEX(Rankings!$E$25:$E$37,MATCH(O12,Rankings!$B$25:$B$37,0))=Q12,INDEX(Rankings!$F$25:$F$37,MATCH(O12,Rankings!$B$25:$B$37,0)),INDEX(Rankings!$E$25:$E$37,MATCH(O12,Rankings!$B$25:$B$37,0))),"TBD"))</f>
      </c>
      <c r="S12" s="684">
        <v>27</v>
      </c>
      <c r="T12" s="684">
        <v>32</v>
      </c>
      <c r="U12" s="187">
        <f t="shared" si="5"/>
      </c>
      <c r="V12" s="647">
        <f t="shared" si="6"/>
      </c>
      <c r="W12" s="648">
        <f t="shared" si="0"/>
      </c>
      <c r="X12" s="648" t="s">
        <v>853</v>
      </c>
      <c r="Y12" s="648" t="s">
        <v>854</v>
      </c>
      <c r="Z12" s="648" t="s">
        <v>855</v>
      </c>
      <c r="AA12" s="648" t="s">
        <v>619</v>
      </c>
      <c r="AB12" s="649">
        <f>IF($N12="","",_xlfn.LET(_xlpm.pairCal,IFERROR(INDEX('Referees Master'!$U$4:$U$8,MATCH($P12,'Referees Master'!$T$4:$T$8,0)),""),_xlpm.isCalGame,OR(ISNUMBER(SEARCH("HAR",$N12)),ISNUMBER(SEARCH("HAR",$O12))),IF(_xlpm.pairCal="","n/a",IF(AND(_xlpm.pairCal="Yes",_xlpm.isCalGame),"⚠ CONFLICT","OK"))))</f>
      </c>
    </row>
    <row r="13" spans="1:28" ht="14.4" outlineLevel="1">
      <c r="A13" s="4"/>
      <c r="B13" s="655">
        <f>IF($C13="","",(Inputs!$C$22-('Format Engine'!$H$22-3))+IF($C13&lt;='Format Engine'!$H$18,0,IF($C13&lt;='Format Engine'!$H$19,1,IF($C13&lt;='Format Engine'!$H$20,2,3))))</f>
      </c>
      <c r="C13" s="350">
        <f>IF(ROW()-4&lt;='Format Engine'!$H$13,ROW()-4,"")</f>
      </c>
      <c r="D13" s="573" cm="1">
        <f t="array" ref="D13">IF($C13="","",IF(OR($C13=1,$C13='Format Engine'!$H$18+1,$C13='Format Engine'!$H$19+1,$C13='Format Engine'!$H$20+1),INDEX(Inputs!$C$26:$C$29,IF($C13&lt;='Format Engine'!$H$18,1,IF($C13&lt;='Format Engine'!$H$19,2,IF($C13&lt;='Format Engine'!$H$20,3,4)))),H12+TIME(0,$C$38,0)))</f>
      </c>
      <c r="E13" s="344">
        <f t="shared" si="1"/>
      </c>
      <c r="F13" s="344">
        <f t="shared" si="2"/>
      </c>
      <c r="G13" s="344">
        <f t="shared" si="3"/>
      </c>
      <c r="H13" s="344">
        <f t="shared" si="4"/>
      </c>
      <c r="I13" s="350" cm="1">
        <f t="array" ref="I13">IF($C13="","",INDEX(_xlfn.ANCHORARRAY('Format Engine'!$J$23),$C13,2))</f>
      </c>
      <c r="J13" s="350" cm="1">
        <f t="array" ref="J13">IF($C13="","",INDEX(_xlfn.ANCHORARRAY('Format Engine'!$J$23),$C13,3))</f>
      </c>
      <c r="K13" s="350" cm="1">
        <f t="array" ref="K13">IF($C13="","",IF(INDEX(_xlfn.ANCHORARRAY('Format Engine'!$J$23),$C13,6)=0,"",INDEX(_xlfn.ANCHORARRAY('Format Engine'!$J$23),$C13,6)))</f>
      </c>
      <c r="L13" s="350" cm="1">
        <f t="array" ref="L13">IF($C13="","",INDEX(_xlfn.ANCHORARRAY('Format Engine'!$J$23),$C13,4))</f>
      </c>
      <c r="M13" s="350" cm="1">
        <f t="array" ref="M13">IF($C13="","",INDEX(_xlfn.ANCHORARRAY('Format Engine'!$J$23),$C13,5))</f>
      </c>
      <c r="N13" s="350">
        <f>IF($C13="","",IF($J13="P",IFERROR(INDEX('Standings Engine'!$A$4:$A$16,MATCH($L13,'Standings Engine'!$J$4:$J$16,0)),"TBD"),IFERROR(INDEX('Teams Master'!$C$2:$C$14,MATCH($L13,'Teams Master'!$E$2:$E$14,0)),"TBD")))</f>
      </c>
      <c r="O13" s="350">
        <f>IF($C13="","",IF($J13="P",IFERROR(INDEX('Standings Engine'!$A$4:$A$16,MATCH($M13,'Standings Engine'!$J$4:$J$16,0)),"TBD"),IFERROR(INDEX('Teams Master'!$C$2:$C$14,MATCH($M13,'Teams Master'!$E$2:$E$14,0)),"TBD")))</f>
      </c>
      <c r="P13" s="186" t="s">
        <v>835</v>
      </c>
      <c r="Q13" s="350">
        <f>IF($C13="","",IFERROR(INDEX(Rankings!$E$25:$E$37,MATCH(N13,Rankings!$B$25:$B$37,0)),"TBD"))</f>
      </c>
      <c r="R13" s="350">
        <f>IF($C13="","",IFERROR(IF(INDEX(Rankings!$E$25:$E$37,MATCH(O13,Rankings!$B$25:$B$37,0))=Q13,INDEX(Rankings!$F$25:$F$37,MATCH(O13,Rankings!$B$25:$B$37,0)),INDEX(Rankings!$E$25:$E$37,MATCH(O13,Rankings!$B$25:$B$37,0))),"TBD"))</f>
      </c>
      <c r="S13" s="683">
        <v>22</v>
      </c>
      <c r="T13" s="683">
        <v>29</v>
      </c>
      <c r="U13" s="186">
        <f t="shared" si="5"/>
      </c>
      <c r="V13" s="650">
        <f t="shared" si="6"/>
      </c>
      <c r="W13" s="651">
        <f t="shared" si="0"/>
      </c>
      <c r="X13" s="651" t="s">
        <v>856</v>
      </c>
      <c r="Y13" s="651" t="s">
        <v>857</v>
      </c>
      <c r="Z13" s="651" t="s">
        <v>858</v>
      </c>
      <c r="AA13" s="651" t="s">
        <v>619</v>
      </c>
      <c r="AB13" s="649">
        <f>IF($N13="","",_xlfn.LET(_xlpm.pairCal,IFERROR(INDEX('Referees Master'!$U$4:$U$8,MATCH($P13,'Referees Master'!$T$4:$T$8,0)),""),_xlpm.isCalGame,OR(ISNUMBER(SEARCH("HAR",$N13)),ISNUMBER(SEARCH("HAR",$O13))),IF(_xlpm.pairCal="","n/a",IF(AND(_xlpm.pairCal="Yes",_xlpm.isCalGame),"⚠ CONFLICT","OK"))))</f>
      </c>
    </row>
    <row r="14" spans="1:28" ht="14.4" outlineLevel="1">
      <c r="A14" s="4"/>
      <c r="B14" s="658">
        <f>IF($C14="","",(Inputs!$C$22-('Format Engine'!$H$22-3))+IF($C14&lt;='Format Engine'!$H$18,0,IF($C14&lt;='Format Engine'!$H$19,1,IF($C14&lt;='Format Engine'!$H$20,2,3))))</f>
      </c>
      <c r="C14" s="351">
        <f>IF(ROW()-4&lt;='Format Engine'!$H$13,ROW()-4,"")</f>
      </c>
      <c r="D14" s="574" cm="1">
        <f t="array" ref="D14">IF($C14="","",IF(OR($C14=1,$C14='Format Engine'!$H$18+1,$C14='Format Engine'!$H$19+1,$C14='Format Engine'!$H$20+1),INDEX(Inputs!$C$26:$C$29,IF($C14&lt;='Format Engine'!$H$18,1,IF($C14&lt;='Format Engine'!$H$19,2,IF($C14&lt;='Format Engine'!$H$20,3,4)))),H13+TIME(0,$C$38,0)))</f>
      </c>
      <c r="E14" s="345">
        <f t="shared" si="1"/>
      </c>
      <c r="F14" s="345">
        <f t="shared" si="2"/>
      </c>
      <c r="G14" s="345">
        <f t="shared" si="3"/>
      </c>
      <c r="H14" s="345">
        <f t="shared" si="4"/>
      </c>
      <c r="I14" s="351" cm="1">
        <f t="array" ref="I14">IF($C14="","",INDEX(_xlfn.ANCHORARRAY('Format Engine'!$J$23),$C14,2))</f>
      </c>
      <c r="J14" s="351" cm="1">
        <f t="array" ref="J14">IF($C14="","",INDEX(_xlfn.ANCHORARRAY('Format Engine'!$J$23),$C14,3))</f>
      </c>
      <c r="K14" s="351" cm="1">
        <f t="array" ref="K14">IF($C14="","",IF(INDEX(_xlfn.ANCHORARRAY('Format Engine'!$J$23),$C14,6)=0,"",INDEX(_xlfn.ANCHORARRAY('Format Engine'!$J$23),$C14,6)))</f>
      </c>
      <c r="L14" s="351" cm="1">
        <f t="array" ref="L14">IF($C14="","",INDEX(_xlfn.ANCHORARRAY('Format Engine'!$J$23),$C14,4))</f>
      </c>
      <c r="M14" s="351" cm="1">
        <f t="array" ref="M14">IF($C14="","",INDEX(_xlfn.ANCHORARRAY('Format Engine'!$J$23),$C14,5))</f>
      </c>
      <c r="N14" s="351">
        <f>IF($C14="","",IF($J14="P",IFERROR(INDEX('Standings Engine'!$A$4:$A$16,MATCH($L14,'Standings Engine'!$J$4:$J$16,0)),"TBD"),IFERROR(INDEX('Teams Master'!$C$2:$C$14,MATCH($L14,'Teams Master'!$E$2:$E$14,0)),"TBD")))</f>
      </c>
      <c r="O14" s="351">
        <f>IF($C14="","",IF($J14="P",IFERROR(INDEX('Standings Engine'!$A$4:$A$16,MATCH($M14,'Standings Engine'!$J$4:$J$16,0)),"TBD"),IFERROR(INDEX('Teams Master'!$C$2:$C$14,MATCH($M14,'Teams Master'!$E$2:$E$14,0)),"TBD")))</f>
      </c>
      <c r="P14" s="187" t="s">
        <v>839</v>
      </c>
      <c r="Q14" s="351">
        <f>IF($C14="","",IFERROR(INDEX(Rankings!$E$25:$E$37,MATCH(N14,Rankings!$B$25:$B$37,0)),"TBD"))</f>
      </c>
      <c r="R14" s="351">
        <f>IF($C14="","",IFERROR(IF(INDEX(Rankings!$E$25:$E$37,MATCH(O14,Rankings!$B$25:$B$37,0))=Q14,INDEX(Rankings!$F$25:$F$37,MATCH(O14,Rankings!$B$25:$B$37,0)),INDEX(Rankings!$E$25:$E$37,MATCH(O14,Rankings!$B$25:$B$37,0))),"TBD"))</f>
      </c>
      <c r="S14" s="684">
        <v>34</v>
      </c>
      <c r="T14" s="684">
        <v>25</v>
      </c>
      <c r="U14" s="187">
        <f t="shared" si="5"/>
      </c>
      <c r="V14" s="647">
        <f t="shared" si="6"/>
      </c>
      <c r="W14" s="648">
        <f t="shared" si="0"/>
      </c>
      <c r="X14" s="648" t="s">
        <v>859</v>
      </c>
      <c r="Y14" s="648" t="s">
        <v>860</v>
      </c>
      <c r="Z14" s="648" t="s">
        <v>861</v>
      </c>
      <c r="AA14" s="648" t="s">
        <v>619</v>
      </c>
      <c r="AB14" s="649">
        <f>IF($N14="","",_xlfn.LET(_xlpm.pairCal,IFERROR(INDEX('Referees Master'!$U$4:$U$8,MATCH($P14,'Referees Master'!$T$4:$T$8,0)),""),_xlpm.isCalGame,OR(ISNUMBER(SEARCH("HAR",$N14)),ISNUMBER(SEARCH("HAR",$O14))),IF(_xlpm.pairCal="","n/a",IF(AND(_xlpm.pairCal="Yes",_xlpm.isCalGame),"⚠ CONFLICT","OK"))))</f>
      </c>
    </row>
    <row r="15" spans="1:28" ht="14.4" outlineLevel="1">
      <c r="A15" s="4"/>
      <c r="B15" s="655">
        <f>IF($C15="","",(Inputs!$C$22-('Format Engine'!$H$22-3))+IF($C15&lt;='Format Engine'!$H$18,0,IF($C15&lt;='Format Engine'!$H$19,1,IF($C15&lt;='Format Engine'!$H$20,2,3))))</f>
      </c>
      <c r="C15" s="350">
        <f>IF(ROW()-4&lt;='Format Engine'!$H$13,ROW()-4,"")</f>
      </c>
      <c r="D15" s="573" cm="1">
        <f t="array" ref="D15">IF($C15="","",IF(OR($C15=1,$C15='Format Engine'!$H$18+1,$C15='Format Engine'!$H$19+1,$C15='Format Engine'!$H$20+1),INDEX(Inputs!$C$26:$C$29,IF($C15&lt;='Format Engine'!$H$18,1,IF($C15&lt;='Format Engine'!$H$19,2,IF($C15&lt;='Format Engine'!$H$20,3,4)))),H14+TIME(0,$C$38,0)))</f>
      </c>
      <c r="E15" s="344">
        <f t="shared" si="1"/>
      </c>
      <c r="F15" s="344">
        <f t="shared" si="2"/>
      </c>
      <c r="G15" s="344">
        <f t="shared" si="3"/>
      </c>
      <c r="H15" s="344">
        <f t="shared" si="4"/>
      </c>
      <c r="I15" s="350" cm="1">
        <f t="array" ref="I15">IF($C15="","",INDEX(_xlfn.ANCHORARRAY('Format Engine'!$J$23),$C15,2))</f>
      </c>
      <c r="J15" s="350" cm="1">
        <f t="array" ref="J15">IF($C15="","",INDEX(_xlfn.ANCHORARRAY('Format Engine'!$J$23),$C15,3))</f>
      </c>
      <c r="K15" s="350" cm="1">
        <f t="array" ref="K15">IF($C15="","",IF(INDEX(_xlfn.ANCHORARRAY('Format Engine'!$J$23),$C15,6)=0,"",INDEX(_xlfn.ANCHORARRAY('Format Engine'!$J$23),$C15,6)))</f>
      </c>
      <c r="L15" s="350" cm="1">
        <f t="array" ref="L15">IF($C15="","",INDEX(_xlfn.ANCHORARRAY('Format Engine'!$J$23),$C15,4))</f>
      </c>
      <c r="M15" s="350" cm="1">
        <f t="array" ref="M15">IF($C15="","",INDEX(_xlfn.ANCHORARRAY('Format Engine'!$J$23),$C15,5))</f>
      </c>
      <c r="N15" s="350">
        <f>IF($C15="","",IF($J15="P",IFERROR(INDEX('Standings Engine'!$A$4:$A$16,MATCH($L15,'Standings Engine'!$J$4:$J$16,0)),"TBD"),IFERROR(INDEX('Teams Master'!$C$2:$C$14,MATCH($L15,'Teams Master'!$E$2:$E$14,0)),"TBD")))</f>
      </c>
      <c r="O15" s="350">
        <f>IF($C15="","",IF($J15="P",IFERROR(INDEX('Standings Engine'!$A$4:$A$16,MATCH($M15,'Standings Engine'!$J$4:$J$16,0)),"TBD"),IFERROR(INDEX('Teams Master'!$C$2:$C$14,MATCH($M15,'Teams Master'!$E$2:$E$14,0)),"TBD")))</f>
      </c>
      <c r="P15" s="186" t="s">
        <v>827</v>
      </c>
      <c r="Q15" s="350">
        <f>IF($C15="","",IFERROR(INDEX(Rankings!$E$25:$E$37,MATCH(N15,Rankings!$B$25:$B$37,0)),"TBD"))</f>
      </c>
      <c r="R15" s="350">
        <f>IF($C15="","",IFERROR(IF(INDEX(Rankings!$E$25:$E$37,MATCH(O15,Rankings!$B$25:$B$37,0))=Q15,INDEX(Rankings!$F$25:$F$37,MATCH(O15,Rankings!$B$25:$B$37,0)),INDEX(Rankings!$E$25:$E$37,MATCH(O15,Rankings!$B$25:$B$37,0))),"TBD"))</f>
      </c>
      <c r="S15" s="683">
        <v>25</v>
      </c>
      <c r="T15" s="683">
        <v>27</v>
      </c>
      <c r="U15" s="186">
        <f t="shared" si="5"/>
      </c>
      <c r="V15" s="650">
        <f t="shared" si="6"/>
      </c>
      <c r="W15" s="651">
        <f t="shared" si="0"/>
      </c>
      <c r="X15" s="651" t="s">
        <v>862</v>
      </c>
      <c r="Y15" s="651" t="s">
        <v>863</v>
      </c>
      <c r="Z15" s="651" t="s">
        <v>864</v>
      </c>
      <c r="AA15" s="651" t="s">
        <v>619</v>
      </c>
      <c r="AB15" s="649">
        <f>IF($N15="","",_xlfn.LET(_xlpm.pairCal,IFERROR(INDEX('Referees Master'!$U$4:$U$8,MATCH($P15,'Referees Master'!$T$4:$T$8,0)),""),_xlpm.isCalGame,OR(ISNUMBER(SEARCH("HAR",$N15)),ISNUMBER(SEARCH("HAR",$O15))),IF(_xlpm.pairCal="","n/a",IF(AND(_xlpm.pairCal="Yes",_xlpm.isCalGame),"⚠ CONFLICT","OK"))))</f>
      </c>
    </row>
    <row r="16" spans="1:28" ht="14.4" outlineLevel="1">
      <c r="A16" s="4"/>
      <c r="B16" s="658">
        <f>IF($C16="","",(Inputs!$C$22-('Format Engine'!$H$22-3))+IF($C16&lt;='Format Engine'!$H$18,0,IF($C16&lt;='Format Engine'!$H$19,1,IF($C16&lt;='Format Engine'!$H$20,2,3))))</f>
      </c>
      <c r="C16" s="351">
        <f>IF(ROW()-4&lt;='Format Engine'!$H$13,ROW()-4,"")</f>
      </c>
      <c r="D16" s="574" cm="1">
        <f t="array" ref="D16">IF($C16="","",IF(OR($C16=1,$C16='Format Engine'!$H$18+1,$C16='Format Engine'!$H$19+1,$C16='Format Engine'!$H$20+1),INDEX(Inputs!$C$26:$C$29,IF($C16&lt;='Format Engine'!$H$18,1,IF($C16&lt;='Format Engine'!$H$19,2,IF($C16&lt;='Format Engine'!$H$20,3,4)))),H15+TIME(0,$C$38,0)))</f>
      </c>
      <c r="E16" s="345">
        <f t="shared" si="1"/>
      </c>
      <c r="F16" s="345">
        <f t="shared" si="2"/>
      </c>
      <c r="G16" s="345">
        <f t="shared" si="3"/>
      </c>
      <c r="H16" s="345">
        <f t="shared" si="4"/>
      </c>
      <c r="I16" s="351" cm="1">
        <f t="array" ref="I16">IF($C16="","",INDEX(_xlfn.ANCHORARRAY('Format Engine'!$J$23),$C16,2))</f>
      </c>
      <c r="J16" s="351" cm="1">
        <f t="array" ref="J16">IF($C16="","",INDEX(_xlfn.ANCHORARRAY('Format Engine'!$J$23),$C16,3))</f>
      </c>
      <c r="K16" s="351" cm="1">
        <f t="array" ref="K16">IF($C16="","",IF(INDEX(_xlfn.ANCHORARRAY('Format Engine'!$J$23),$C16,6)=0,"",INDEX(_xlfn.ANCHORARRAY('Format Engine'!$J$23),$C16,6)))</f>
      </c>
      <c r="L16" s="351" cm="1">
        <f t="array" ref="L16">IF($C16="","",INDEX(_xlfn.ANCHORARRAY('Format Engine'!$J$23),$C16,4))</f>
      </c>
      <c r="M16" s="351" cm="1">
        <f t="array" ref="M16">IF($C16="","",INDEX(_xlfn.ANCHORARRAY('Format Engine'!$J$23),$C16,5))</f>
      </c>
      <c r="N16" s="351">
        <f>IF($C16="","",IF($J16="P",IFERROR(INDEX('Standings Engine'!$A$4:$A$16,MATCH($L16,'Standings Engine'!$J$4:$J$16,0)),"TBD"),IFERROR(INDEX('Teams Master'!$C$2:$C$14,MATCH($L16,'Teams Master'!$E$2:$E$14,0)),"TBD")))</f>
      </c>
      <c r="O16" s="351">
        <f>IF($C16="","",IF($J16="P",IFERROR(INDEX('Standings Engine'!$A$4:$A$16,MATCH($M16,'Standings Engine'!$J$4:$J$16,0)),"TBD"),IFERROR(INDEX('Teams Master'!$C$2:$C$14,MATCH($M16,'Teams Master'!$E$2:$E$14,0)),"TBD")))</f>
      </c>
      <c r="P16" s="187" t="s">
        <v>831</v>
      </c>
      <c r="Q16" s="351">
        <f>IF($C16="","",IFERROR(INDEX(Rankings!$E$25:$E$37,MATCH(N16,Rankings!$B$25:$B$37,0)),"TBD"))</f>
      </c>
      <c r="R16" s="351">
        <f>IF($C16="","",IFERROR(IF(INDEX(Rankings!$E$25:$E$37,MATCH(O16,Rankings!$B$25:$B$37,0))=Q16,INDEX(Rankings!$F$25:$F$37,MATCH(O16,Rankings!$B$25:$B$37,0)),INDEX(Rankings!$E$25:$E$37,MATCH(O16,Rankings!$B$25:$B$37,0))),"TBD"))</f>
      </c>
      <c r="S16" s="684">
        <v>29</v>
      </c>
      <c r="T16" s="684">
        <v>29</v>
      </c>
      <c r="U16" s="187">
        <f t="shared" si="5"/>
      </c>
      <c r="V16" s="647">
        <f t="shared" si="6"/>
      </c>
      <c r="W16" s="648">
        <f t="shared" si="0"/>
      </c>
      <c r="X16" s="648" t="s">
        <v>865</v>
      </c>
      <c r="Y16" s="648" t="s">
        <v>866</v>
      </c>
      <c r="Z16" s="648" t="s">
        <v>867</v>
      </c>
      <c r="AA16" s="648" t="s">
        <v>613</v>
      </c>
      <c r="AB16" s="649">
        <f>IF($N16="","",_xlfn.LET(_xlpm.pairCal,IFERROR(INDEX('Referees Master'!$U$4:$U$8,MATCH($P16,'Referees Master'!$T$4:$T$8,0)),""),_xlpm.isCalGame,OR(ISNUMBER(SEARCH("HAR",$N16)),ISNUMBER(SEARCH("HAR",$O16))),IF(_xlpm.pairCal="","n/a",IF(AND(_xlpm.pairCal="Yes",_xlpm.isCalGame),"⚠ CONFLICT","OK"))))</f>
      </c>
    </row>
    <row r="17" spans="1:28" ht="14.4" outlineLevel="1">
      <c r="A17" s="4"/>
      <c r="B17" s="655">
        <f>IF($C17="","",(Inputs!$C$22-('Format Engine'!$H$22-3))+IF($C17&lt;='Format Engine'!$H$18,0,IF($C17&lt;='Format Engine'!$H$19,1,IF($C17&lt;='Format Engine'!$H$20,2,3))))</f>
      </c>
      <c r="C17" s="350">
        <f>IF(ROW()-4&lt;='Format Engine'!$H$13,ROW()-4,"")</f>
      </c>
      <c r="D17" s="573" cm="1">
        <f t="array" ref="D17">IF($C17="","",IF(OR($C17=1,$C17='Format Engine'!$H$18+1,$C17='Format Engine'!$H$19+1,$C17='Format Engine'!$H$20+1),INDEX(Inputs!$C$26:$C$29,IF($C17&lt;='Format Engine'!$H$18,1,IF($C17&lt;='Format Engine'!$H$19,2,IF($C17&lt;='Format Engine'!$H$20,3,4)))),H16+TIME(0,$C$38,0)))</f>
      </c>
      <c r="E17" s="344">
        <f t="shared" si="1"/>
      </c>
      <c r="F17" s="344">
        <f t="shared" si="2"/>
      </c>
      <c r="G17" s="344">
        <f t="shared" si="3"/>
      </c>
      <c r="H17" s="344">
        <f t="shared" si="4"/>
      </c>
      <c r="I17" s="350" cm="1">
        <f t="array" ref="I17">IF($C17="","",INDEX(_xlfn.ANCHORARRAY('Format Engine'!$J$23),$C17,2))</f>
      </c>
      <c r="J17" s="350" cm="1">
        <f t="array" ref="J17">IF($C17="","",INDEX(_xlfn.ANCHORARRAY('Format Engine'!$J$23),$C17,3))</f>
      </c>
      <c r="K17" s="350" cm="1">
        <f t="array" ref="K17">IF($C17="","",IF(INDEX(_xlfn.ANCHORARRAY('Format Engine'!$J$23),$C17,6)=0,"",INDEX(_xlfn.ANCHORARRAY('Format Engine'!$J$23),$C17,6)))</f>
      </c>
      <c r="L17" s="350" cm="1">
        <f t="array" ref="L17">IF($C17="","",INDEX(_xlfn.ANCHORARRAY('Format Engine'!$J$23),$C17,4))</f>
      </c>
      <c r="M17" s="350" cm="1">
        <f t="array" ref="M17">IF($C17="","",INDEX(_xlfn.ANCHORARRAY('Format Engine'!$J$23),$C17,5))</f>
      </c>
      <c r="N17" s="350">
        <f>IF($C17="","",IF($J17="P",IFERROR(INDEX('Standings Engine'!$A$4:$A$16,MATCH($L17,'Standings Engine'!$J$4:$J$16,0)),"TBD"),IFERROR(INDEX('Teams Master'!$C$2:$C$14,MATCH($L17,'Teams Master'!$E$2:$E$14,0)),"TBD")))</f>
      </c>
      <c r="O17" s="350">
        <f>IF($C17="","",IF($J17="P",IFERROR(INDEX('Standings Engine'!$A$4:$A$16,MATCH($M17,'Standings Engine'!$J$4:$J$16,0)),"TBD"),IFERROR(INDEX('Teams Master'!$C$2:$C$14,MATCH($M17,'Teams Master'!$E$2:$E$14,0)),"TBD")))</f>
      </c>
      <c r="P17" s="186" t="s">
        <v>835</v>
      </c>
      <c r="Q17" s="350">
        <f>IF($C17="","",IFERROR(INDEX(Rankings!$E$25:$E$37,MATCH(N17,Rankings!$B$25:$B$37,0)),"TBD"))</f>
      </c>
      <c r="R17" s="350">
        <f>IF($C17="","",IFERROR(IF(INDEX(Rankings!$E$25:$E$37,MATCH(O17,Rankings!$B$25:$B$37,0))=Q17,INDEX(Rankings!$F$25:$F$37,MATCH(O17,Rankings!$B$25:$B$37,0)),INDEX(Rankings!$E$25:$E$37,MATCH(O17,Rankings!$B$25:$B$37,0))),"TBD"))</f>
      </c>
      <c r="S17" s="683"/>
      <c r="T17" s="683"/>
      <c r="U17" s="186">
        <f t="shared" si="5"/>
      </c>
      <c r="V17" s="650">
        <f t="shared" si="6"/>
      </c>
      <c r="W17" s="651">
        <f t="shared" si="0"/>
      </c>
      <c r="X17" s="651" t="s">
        <v>868</v>
      </c>
      <c r="Y17" s="651" t="s">
        <v>869</v>
      </c>
      <c r="Z17" s="651" t="s">
        <v>870</v>
      </c>
      <c r="AA17" s="651" t="s">
        <v>613</v>
      </c>
      <c r="AB17" s="649">
        <f>IF($N17="","",_xlfn.LET(_xlpm.pairCal,IFERROR(INDEX('Referees Master'!$U$4:$U$8,MATCH($P17,'Referees Master'!$T$4:$T$8,0)),""),_xlpm.isCalGame,OR(ISNUMBER(SEARCH("HAR",$N17)),ISNUMBER(SEARCH("HAR",$O17))),IF(_xlpm.pairCal="","n/a",IF(AND(_xlpm.pairCal="Yes",_xlpm.isCalGame),"⚠ CONFLICT","OK"))))</f>
      </c>
    </row>
    <row r="18" spans="1:28" ht="14.4" outlineLevel="1">
      <c r="A18" s="4"/>
      <c r="B18" s="658">
        <f>IF($C18="","",(Inputs!$C$22-('Format Engine'!$H$22-3))+IF($C18&lt;='Format Engine'!$H$18,0,IF($C18&lt;='Format Engine'!$H$19,1,IF($C18&lt;='Format Engine'!$H$20,2,3))))</f>
      </c>
      <c r="C18" s="351">
        <f>IF(ROW()-4&lt;='Format Engine'!$H$13,ROW()-4,"")</f>
      </c>
      <c r="D18" s="574" cm="1">
        <f t="array" ref="D18">IF($C18="","",IF(OR($C18=1,$C18='Format Engine'!$H$18+1,$C18='Format Engine'!$H$19+1,$C18='Format Engine'!$H$20+1),INDEX(Inputs!$C$26:$C$29,IF($C18&lt;='Format Engine'!$H$18,1,IF($C18&lt;='Format Engine'!$H$19,2,IF($C18&lt;='Format Engine'!$H$20,3,4)))),H17+TIME(0,$C$38,0)))</f>
      </c>
      <c r="E18" s="345">
        <f t="shared" si="1"/>
      </c>
      <c r="F18" s="345">
        <f t="shared" si="2"/>
      </c>
      <c r="G18" s="345">
        <f t="shared" si="3"/>
      </c>
      <c r="H18" s="345">
        <f t="shared" si="4"/>
      </c>
      <c r="I18" s="351" cm="1">
        <f t="array" ref="I18">IF($C18="","",INDEX(_xlfn.ANCHORARRAY('Format Engine'!$J$23),$C18,2))</f>
      </c>
      <c r="J18" s="351" cm="1">
        <f t="array" ref="J18">IF($C18="","",INDEX(_xlfn.ANCHORARRAY('Format Engine'!$J$23),$C18,3))</f>
      </c>
      <c r="K18" s="351" cm="1">
        <f t="array" ref="K18">IF($C18="","",IF(INDEX(_xlfn.ANCHORARRAY('Format Engine'!$J$23),$C18,6)=0,"",INDEX(_xlfn.ANCHORARRAY('Format Engine'!$J$23),$C18,6)))</f>
      </c>
      <c r="L18" s="351" cm="1">
        <f t="array" ref="L18">IF($C18="","",INDEX(_xlfn.ANCHORARRAY('Format Engine'!$J$23),$C18,4))</f>
      </c>
      <c r="M18" s="351" cm="1">
        <f t="array" ref="M18">IF($C18="","",INDEX(_xlfn.ANCHORARRAY('Format Engine'!$J$23),$C18,5))</f>
      </c>
      <c r="N18" s="351">
        <f>IF($C18="","",IF($J18="P",IFERROR(INDEX('Standings Engine'!$A$4:$A$16,MATCH($L18,'Standings Engine'!$J$4:$J$16,0)),"TBD"),IFERROR(INDEX('Teams Master'!$C$2:$C$14,MATCH($L18,'Teams Master'!$E$2:$E$14,0)),"TBD")))</f>
      </c>
      <c r="O18" s="351">
        <f>IF($C18="","",IF($J18="P",IFERROR(INDEX('Standings Engine'!$A$4:$A$16,MATCH($M18,'Standings Engine'!$J$4:$J$16,0)),"TBD"),IFERROR(INDEX('Teams Master'!$C$2:$C$14,MATCH($M18,'Teams Master'!$E$2:$E$14,0)),"TBD")))</f>
      </c>
      <c r="P18" s="187" t="s">
        <v>839</v>
      </c>
      <c r="Q18" s="351">
        <f>IF($C18="","",IFERROR(INDEX(Rankings!$E$25:$E$37,MATCH(N18,Rankings!$B$25:$B$37,0)),"TBD"))</f>
      </c>
      <c r="R18" s="351">
        <f>IF($C18="","",IFERROR(IF(INDEX(Rankings!$E$25:$E$37,MATCH(O18,Rankings!$B$25:$B$37,0))=Q18,INDEX(Rankings!$F$25:$F$37,MATCH(O18,Rankings!$B$25:$B$37,0)),INDEX(Rankings!$E$25:$E$37,MATCH(O18,Rankings!$B$25:$B$37,0))),"TBD"))</f>
      </c>
      <c r="S18" s="684"/>
      <c r="T18" s="684"/>
      <c r="U18" s="187">
        <f t="shared" si="5"/>
      </c>
      <c r="V18" s="647">
        <f t="shared" si="6"/>
      </c>
      <c r="W18" s="648">
        <f t="shared" si="0"/>
      </c>
      <c r="X18" s="648" t="s">
        <v>871</v>
      </c>
      <c r="Y18" s="648" t="s">
        <v>872</v>
      </c>
      <c r="Z18" s="648" t="s">
        <v>873</v>
      </c>
      <c r="AA18" s="648" t="s">
        <v>613</v>
      </c>
      <c r="AB18" s="649">
        <f>IF($N18="","",_xlfn.LET(_xlpm.pairCal,IFERROR(INDEX('Referees Master'!$U$4:$U$8,MATCH($P18,'Referees Master'!$T$4:$T$8,0)),""),_xlpm.isCalGame,OR(ISNUMBER(SEARCH("HAR",$N18)),ISNUMBER(SEARCH("HAR",$O18))),IF(_xlpm.pairCal="","n/a",IF(AND(_xlpm.pairCal="Yes",_xlpm.isCalGame),"⚠ CONFLICT","OK"))))</f>
      </c>
    </row>
    <row r="19" spans="1:28" ht="14.4" outlineLevel="1">
      <c r="A19" s="4"/>
      <c r="B19" s="655">
        <f>IF($C19="","",(Inputs!$C$22-('Format Engine'!$H$22-3))+IF($C19&lt;='Format Engine'!$H$18,0,IF($C19&lt;='Format Engine'!$H$19,1,IF($C19&lt;='Format Engine'!$H$20,2,3))))</f>
      </c>
      <c r="C19" s="350">
        <f>IF(ROW()-4&lt;='Format Engine'!$H$13,ROW()-4,"")</f>
      </c>
      <c r="D19" s="573" cm="1">
        <f t="array" ref="D19">IF($C19="","",IF(OR($C19=1,$C19='Format Engine'!$H$18+1,$C19='Format Engine'!$H$19+1,$C19='Format Engine'!$H$20+1),INDEX(Inputs!$C$26:$C$29,IF($C19&lt;='Format Engine'!$H$18,1,IF($C19&lt;='Format Engine'!$H$19,2,IF($C19&lt;='Format Engine'!$H$20,3,4)))),H18+TIME(0,$C$38,0)))</f>
      </c>
      <c r="E19" s="344">
        <f t="shared" si="1"/>
      </c>
      <c r="F19" s="344">
        <f t="shared" si="2"/>
      </c>
      <c r="G19" s="344">
        <f t="shared" si="3"/>
      </c>
      <c r="H19" s="344">
        <f t="shared" si="4"/>
      </c>
      <c r="I19" s="350" cm="1">
        <f t="array" ref="I19">IF($C19="","",INDEX(_xlfn.ANCHORARRAY('Format Engine'!$J$23),$C19,2))</f>
      </c>
      <c r="J19" s="350" cm="1">
        <f t="array" ref="J19">IF($C19="","",INDEX(_xlfn.ANCHORARRAY('Format Engine'!$J$23),$C19,3))</f>
      </c>
      <c r="K19" s="350" cm="1">
        <f t="array" ref="K19">IF($C19="","",IF(INDEX(_xlfn.ANCHORARRAY('Format Engine'!$J$23),$C19,6)=0,"",INDEX(_xlfn.ANCHORARRAY('Format Engine'!$J$23),$C19,6)))</f>
      </c>
      <c r="L19" s="350" cm="1">
        <f t="array" ref="L19">IF($C19="","",INDEX(_xlfn.ANCHORARRAY('Format Engine'!$J$23),$C19,4))</f>
      </c>
      <c r="M19" s="350" cm="1">
        <f t="array" ref="M19">IF($C19="","",INDEX(_xlfn.ANCHORARRAY('Format Engine'!$J$23),$C19,5))</f>
      </c>
      <c r="N19" s="350">
        <f>IF($C19="","",IF($J19="P",IFERROR(INDEX('Standings Engine'!$A$4:$A$16,MATCH($L19,'Standings Engine'!$J$4:$J$16,0)),"TBD"),IFERROR(INDEX('Teams Master'!$C$2:$C$14,MATCH($L19,'Teams Master'!$E$2:$E$14,0)),"TBD")))</f>
      </c>
      <c r="O19" s="350">
        <f>IF($C19="","",IF($J19="P",IFERROR(INDEX('Standings Engine'!$A$4:$A$16,MATCH($M19,'Standings Engine'!$J$4:$J$16,0)),"TBD"),IFERROR(INDEX('Teams Master'!$C$2:$C$14,MATCH($M19,'Teams Master'!$E$2:$E$14,0)),"TBD")))</f>
      </c>
      <c r="P19" s="186" t="s">
        <v>843</v>
      </c>
      <c r="Q19" s="350">
        <f>IF($C19="","",IFERROR(INDEX(Rankings!$E$25:$E$37,MATCH(N19,Rankings!$B$25:$B$37,0)),"TBD"))</f>
      </c>
      <c r="R19" s="350">
        <f>IF($C19="","",IFERROR(IF(INDEX(Rankings!$E$25:$E$37,MATCH(O19,Rankings!$B$25:$B$37,0))=Q19,INDEX(Rankings!$F$25:$F$37,MATCH(O19,Rankings!$B$25:$B$37,0)),INDEX(Rankings!$E$25:$E$37,MATCH(O19,Rankings!$B$25:$B$37,0))),"TBD"))</f>
      </c>
      <c r="S19" s="683"/>
      <c r="T19" s="683"/>
      <c r="U19" s="186">
        <f t="shared" si="5"/>
      </c>
      <c r="V19" s="650">
        <f t="shared" si="6"/>
      </c>
      <c r="W19" s="651">
        <f t="shared" si="0"/>
      </c>
      <c r="X19" s="651" t="s">
        <v>874</v>
      </c>
      <c r="Y19" s="651" t="s">
        <v>875</v>
      </c>
      <c r="Z19" s="651" t="s">
        <v>830</v>
      </c>
      <c r="AA19" s="651" t="s">
        <v>613</v>
      </c>
      <c r="AB19" s="649">
        <f>IF($N19="","",_xlfn.LET(_xlpm.pairCal,IFERROR(INDEX('Referees Master'!$U$4:$U$8,MATCH($P19,'Referees Master'!$T$4:$T$8,0)),""),_xlpm.isCalGame,OR(ISNUMBER(SEARCH("HAR",$N19)),ISNUMBER(SEARCH("HAR",$O19))),IF(_xlpm.pairCal="","n/a",IF(AND(_xlpm.pairCal="Yes",_xlpm.isCalGame),"⚠ CONFLICT","OK"))))</f>
      </c>
    </row>
    <row r="20" spans="1:28" ht="14.4" outlineLevel="1">
      <c r="A20" s="4"/>
      <c r="B20" s="658">
        <f>IF($C20="","",(Inputs!$C$22-('Format Engine'!$H$22-3))+IF($C20&lt;='Format Engine'!$H$18,0,IF($C20&lt;='Format Engine'!$H$19,1,IF($C20&lt;='Format Engine'!$H$20,2,3))))</f>
      </c>
      <c r="C20" s="351">
        <f>IF(ROW()-4&lt;='Format Engine'!$H$13,ROW()-4,"")</f>
      </c>
      <c r="D20" s="574" cm="1">
        <f t="array" ref="D20">IF($C20="","",IF(OR($C20=1,$C20='Format Engine'!$H$18+1,$C20='Format Engine'!$H$19+1,$C20='Format Engine'!$H$20+1),INDEX(Inputs!$C$26:$C$29,IF($C20&lt;='Format Engine'!$H$18,1,IF($C20&lt;='Format Engine'!$H$19,2,IF($C20&lt;='Format Engine'!$H$20,3,4)))),H19+TIME(0,$C$38,0)))</f>
      </c>
      <c r="E20" s="345">
        <f t="shared" si="1"/>
      </c>
      <c r="F20" s="345">
        <f t="shared" si="2"/>
      </c>
      <c r="G20" s="345">
        <f t="shared" si="3"/>
      </c>
      <c r="H20" s="345">
        <f t="shared" si="4"/>
      </c>
      <c r="I20" s="351" cm="1">
        <f t="array" ref="I20">IF($C20="","",INDEX(_xlfn.ANCHORARRAY('Format Engine'!$J$23),$C20,2))</f>
      </c>
      <c r="J20" s="351" cm="1">
        <f t="array" ref="J20">IF($C20="","",INDEX(_xlfn.ANCHORARRAY('Format Engine'!$J$23),$C20,3))</f>
      </c>
      <c r="K20" s="351" cm="1">
        <f t="array" ref="K20">IF($C20="","",IF(INDEX(_xlfn.ANCHORARRAY('Format Engine'!$J$23),$C20,6)=0,"",INDEX(_xlfn.ANCHORARRAY('Format Engine'!$J$23),$C20,6)))</f>
      </c>
      <c r="L20" s="351" cm="1">
        <f t="array" ref="L20">IF($C20="","",INDEX(_xlfn.ANCHORARRAY('Format Engine'!$J$23),$C20,4))</f>
      </c>
      <c r="M20" s="351" cm="1">
        <f t="array" ref="M20">IF($C20="","",INDEX(_xlfn.ANCHORARRAY('Format Engine'!$J$23),$C20,5))</f>
      </c>
      <c r="N20" s="351">
        <f>IF($C20="","",IF($J20="P",IFERROR(INDEX('Standings Engine'!$A$4:$A$16,MATCH($L20,'Standings Engine'!$J$4:$J$16,0)),"TBD"),IFERROR(INDEX('Teams Master'!$C$2:$C$14,MATCH($L20,'Teams Master'!$E$2:$E$14,0)),"TBD")))</f>
      </c>
      <c r="O20" s="351">
        <f>IF($C20="","",IF($J20="P",IFERROR(INDEX('Standings Engine'!$A$4:$A$16,MATCH($M20,'Standings Engine'!$J$4:$J$16,0)),"TBD"),IFERROR(INDEX('Teams Master'!$C$2:$C$14,MATCH($M20,'Teams Master'!$E$2:$E$14,0)),"TBD")))</f>
      </c>
      <c r="P20" s="187" t="s">
        <v>827</v>
      </c>
      <c r="Q20" s="351">
        <f>IF($C20="","",IFERROR(INDEX(Rankings!$E$25:$E$37,MATCH(N20,Rankings!$B$25:$B$37,0)),"TBD"))</f>
      </c>
      <c r="R20" s="351">
        <f>IF($C20="","",IFERROR(IF(INDEX(Rankings!$E$25:$E$37,MATCH(O20,Rankings!$B$25:$B$37,0))=Q20,INDEX(Rankings!$F$25:$F$37,MATCH(O20,Rankings!$B$25:$B$37,0)),INDEX(Rankings!$E$25:$E$37,MATCH(O20,Rankings!$B$25:$B$37,0))),"TBD"))</f>
      </c>
      <c r="S20" s="684"/>
      <c r="T20" s="684"/>
      <c r="U20" s="187">
        <f t="shared" si="5"/>
      </c>
      <c r="V20" s="647">
        <f t="shared" si="6"/>
      </c>
      <c r="W20" s="648">
        <f t="shared" si="0"/>
      </c>
      <c r="X20" s="648" t="s">
        <v>828</v>
      </c>
      <c r="Y20" s="648" t="s">
        <v>829</v>
      </c>
      <c r="Z20" s="648" t="s">
        <v>834</v>
      </c>
      <c r="AA20" s="648" t="s">
        <v>616</v>
      </c>
      <c r="AB20" s="649">
        <f>IF($N20="","",_xlfn.LET(_xlpm.pairCal,IFERROR(INDEX('Referees Master'!$U$4:$U$8,MATCH($P20,'Referees Master'!$T$4:$T$8,0)),""),_xlpm.isCalGame,OR(ISNUMBER(SEARCH("HAR",$N20)),ISNUMBER(SEARCH("HAR",$O20))),IF(_xlpm.pairCal="","n/a",IF(AND(_xlpm.pairCal="Yes",_xlpm.isCalGame),"⚠ CONFLICT","OK"))))</f>
      </c>
    </row>
    <row r="21" spans="1:28" ht="15.75" customHeight="1" outlineLevel="1">
      <c r="B21" s="655">
        <f>IF($C21="","",(Inputs!$C$22-('Format Engine'!$H$22-3))+IF($C21&lt;='Format Engine'!$H$18,0,IF($C21&lt;='Format Engine'!$H$19,1,IF($C21&lt;='Format Engine'!$H$20,2,3))))</f>
      </c>
      <c r="C21" s="350">
        <f>IF(ROW()-4&lt;='Format Engine'!$H$13,ROW()-4,"")</f>
      </c>
      <c r="D21" s="573" cm="1">
        <f t="array" ref="D21">IF($C21="","",IF(OR($C21=1,$C21='Format Engine'!$H$18+1,$C21='Format Engine'!$H$19+1,$C21='Format Engine'!$H$20+1),INDEX(Inputs!$C$26:$C$29,IF($C21&lt;='Format Engine'!$H$18,1,IF($C21&lt;='Format Engine'!$H$19,2,IF($C21&lt;='Format Engine'!$H$20,3,4)))),H20+TIME(0,$C$38,0)))</f>
      </c>
      <c r="E21" s="344">
        <f t="shared" si="1"/>
      </c>
      <c r="F21" s="344">
        <f t="shared" si="2"/>
      </c>
      <c r="G21" s="344">
        <f t="shared" si="3"/>
      </c>
      <c r="H21" s="344">
        <f t="shared" si="4"/>
      </c>
      <c r="I21" s="350" cm="1">
        <f t="array" ref="I21">IF($C21="","",INDEX(_xlfn.ANCHORARRAY('Format Engine'!$J$23),$C21,2))</f>
      </c>
      <c r="J21" s="350" cm="1">
        <f t="array" ref="J21">IF($C21="","",INDEX(_xlfn.ANCHORARRAY('Format Engine'!$J$23),$C21,3))</f>
      </c>
      <c r="K21" s="350" cm="1">
        <f t="array" ref="K21">IF($C21="","",IF(INDEX(_xlfn.ANCHORARRAY('Format Engine'!$J$23),$C21,6)=0,"",INDEX(_xlfn.ANCHORARRAY('Format Engine'!$J$23),$C21,6)))</f>
      </c>
      <c r="L21" s="350" cm="1">
        <f t="array" ref="L21">IF($C21="","",INDEX(_xlfn.ANCHORARRAY('Format Engine'!$J$23),$C21,4))</f>
      </c>
      <c r="M21" s="350" cm="1">
        <f t="array" ref="M21">IF($C21="","",INDEX(_xlfn.ANCHORARRAY('Format Engine'!$J$23),$C21,5))</f>
      </c>
      <c r="N21" s="350">
        <f>IF($C21="","",IF($J21="P",IFERROR(INDEX('Standings Engine'!$A$4:$A$16,MATCH($L21,'Standings Engine'!$J$4:$J$16,0)),"TBD"),IFERROR(INDEX('Teams Master'!$C$2:$C$14,MATCH($L21,'Teams Master'!$E$2:$E$14,0)),"TBD")))</f>
      </c>
      <c r="O21" s="350">
        <f>IF($C21="","",IF($J21="P",IFERROR(INDEX('Standings Engine'!$A$4:$A$16,MATCH($M21,'Standings Engine'!$J$4:$J$16,0)),"TBD"),IFERROR(INDEX('Teams Master'!$C$2:$C$14,MATCH($M21,'Teams Master'!$E$2:$E$14,0)),"TBD")))</f>
      </c>
      <c r="P21" s="186" t="s">
        <v>831</v>
      </c>
      <c r="Q21" s="350">
        <f>IF($C21="","",IFERROR(INDEX(Rankings!$E$25:$E$37,MATCH(N21,Rankings!$B$25:$B$37,0)),"TBD"))</f>
      </c>
      <c r="R21" s="350">
        <f>IF($C21="","",IFERROR(IF(INDEX(Rankings!$E$25:$E$37,MATCH(O21,Rankings!$B$25:$B$37,0))=Q21,INDEX(Rankings!$F$25:$F$37,MATCH(O21,Rankings!$B$25:$B$37,0)),INDEX(Rankings!$E$25:$E$37,MATCH(O21,Rankings!$B$25:$B$37,0))),"TBD"))</f>
      </c>
      <c r="S21" s="683"/>
      <c r="T21" s="683"/>
      <c r="U21" s="186">
        <f t="shared" si="5"/>
      </c>
      <c r="V21" s="650">
        <f t="shared" si="6"/>
      </c>
      <c r="W21" s="651">
        <f t="shared" si="0"/>
      </c>
      <c r="X21" s="651" t="s">
        <v>832</v>
      </c>
      <c r="Y21" s="651" t="s">
        <v>833</v>
      </c>
      <c r="Z21" s="651" t="s">
        <v>838</v>
      </c>
      <c r="AA21" s="651" t="s">
        <v>616</v>
      </c>
      <c r="AB21" s="649">
        <f>IF($N21="","",_xlfn.LET(_xlpm.pairCal,IFERROR(INDEX('Referees Master'!$U$4:$U$8,MATCH($P21,'Referees Master'!$T$4:$T$8,0)),""),_xlpm.isCalGame,OR(ISNUMBER(SEARCH("HAR",$N21)),ISNUMBER(SEARCH("HAR",$O21))),IF(_xlpm.pairCal="","n/a",IF(AND(_xlpm.pairCal="Yes",_xlpm.isCalGame),"⚠ CONFLICT","OK"))))</f>
      </c>
    </row>
    <row r="22" spans="1:28" ht="15.75" customHeight="1" outlineLevel="1">
      <c r="B22" s="658">
        <f>IF($C22="","",(Inputs!$C$22-('Format Engine'!$H$22-3))+IF($C22&lt;='Format Engine'!$H$18,0,IF($C22&lt;='Format Engine'!$H$19,1,IF($C22&lt;='Format Engine'!$H$20,2,3))))</f>
      </c>
      <c r="C22" s="351">
        <f>IF(ROW()-4&lt;='Format Engine'!$H$13,ROW()-4,"")</f>
      </c>
      <c r="D22" s="574" cm="1">
        <f t="array" ref="D22">IF($C22="","",IF(OR($C22=1,$C22='Format Engine'!$H$18+1,$C22='Format Engine'!$H$19+1,$C22='Format Engine'!$H$20+1),INDEX(Inputs!$C$26:$C$29,IF($C22&lt;='Format Engine'!$H$18,1,IF($C22&lt;='Format Engine'!$H$19,2,IF($C22&lt;='Format Engine'!$H$20,3,4)))),H21+TIME(0,$C$38,0)))</f>
      </c>
      <c r="E22" s="345">
        <f t="shared" si="1"/>
      </c>
      <c r="F22" s="345">
        <f t="shared" si="2"/>
      </c>
      <c r="G22" s="345">
        <f t="shared" si="3"/>
      </c>
      <c r="H22" s="345">
        <f t="shared" si="4"/>
      </c>
      <c r="I22" s="351" cm="1">
        <f t="array" ref="I22">IF($C22="","",INDEX(_xlfn.ANCHORARRAY('Format Engine'!$J$23),$C22,2))</f>
      </c>
      <c r="J22" s="351" cm="1">
        <f t="array" ref="J22">IF($C22="","",INDEX(_xlfn.ANCHORARRAY('Format Engine'!$J$23),$C22,3))</f>
      </c>
      <c r="K22" s="351" cm="1">
        <f t="array" ref="K22">IF($C22="","",IF(INDEX(_xlfn.ANCHORARRAY('Format Engine'!$J$23),$C22,6)=0,"",INDEX(_xlfn.ANCHORARRAY('Format Engine'!$J$23),$C22,6)))</f>
      </c>
      <c r="L22" s="351" cm="1">
        <f t="array" ref="L22">IF($C22="","",INDEX(_xlfn.ANCHORARRAY('Format Engine'!$J$23),$C22,4))</f>
      </c>
      <c r="M22" s="351" cm="1">
        <f t="array" ref="M22">IF($C22="","",INDEX(_xlfn.ANCHORARRAY('Format Engine'!$J$23),$C22,5))</f>
      </c>
      <c r="N22" s="351">
        <f>IF($C22="","",IF($J22="P",IFERROR(INDEX('Standings Engine'!$A$4:$A$16,MATCH($L22,'Standings Engine'!$J$4:$J$16,0)),"TBD"),IFERROR(INDEX('Teams Master'!$C$2:$C$14,MATCH($L22,'Teams Master'!$E$2:$E$14,0)),"TBD")))</f>
      </c>
      <c r="O22" s="351">
        <f>IF($C22="","",IF($J22="P",IFERROR(INDEX('Standings Engine'!$A$4:$A$16,MATCH($M22,'Standings Engine'!$J$4:$J$16,0)),"TBD"),IFERROR(INDEX('Teams Master'!$C$2:$C$14,MATCH($M22,'Teams Master'!$E$2:$E$14,0)),"TBD")))</f>
      </c>
      <c r="P22" s="187" t="s">
        <v>835</v>
      </c>
      <c r="Q22" s="351">
        <f>IF($C22="","",IFERROR(INDEX(Rankings!$E$25:$E$37,MATCH(N22,Rankings!$B$25:$B$37,0)),"TBD"))</f>
      </c>
      <c r="R22" s="351">
        <f>IF($C22="","",IFERROR(IF(INDEX(Rankings!$E$25:$E$37,MATCH(O22,Rankings!$B$25:$B$37,0))=Q22,INDEX(Rankings!$F$25:$F$37,MATCH(O22,Rankings!$B$25:$B$37,0)),INDEX(Rankings!$E$25:$E$37,MATCH(O22,Rankings!$B$25:$B$37,0))),"TBD"))</f>
      </c>
      <c r="S22" s="684"/>
      <c r="T22" s="684"/>
      <c r="U22" s="187">
        <f t="shared" si="5"/>
      </c>
      <c r="V22" s="647">
        <f t="shared" si="6"/>
      </c>
      <c r="W22" s="648">
        <f t="shared" si="0"/>
      </c>
      <c r="X22" s="648" t="s">
        <v>836</v>
      </c>
      <c r="Y22" s="648" t="s">
        <v>837</v>
      </c>
      <c r="Z22" s="648" t="s">
        <v>842</v>
      </c>
      <c r="AA22" s="648" t="s">
        <v>616</v>
      </c>
      <c r="AB22" s="649">
        <f>IF($N22="","",_xlfn.LET(_xlpm.pairCal,IFERROR(INDEX('Referees Master'!$U$4:$U$8,MATCH($P22,'Referees Master'!$T$4:$T$8,0)),""),_xlpm.isCalGame,OR(ISNUMBER(SEARCH("HAR",$N22)),ISNUMBER(SEARCH("HAR",$O22))),IF(_xlpm.pairCal="","n/a",IF(AND(_xlpm.pairCal="Yes",_xlpm.isCalGame),"⚠ CONFLICT","OK"))))</f>
      </c>
    </row>
    <row r="23" spans="1:28" ht="15.75" customHeight="1" outlineLevel="1">
      <c r="B23" s="655">
        <f>IF($C23="","",(Inputs!$C$22-('Format Engine'!$H$22-3))+IF($C23&lt;='Format Engine'!$H$18,0,IF($C23&lt;='Format Engine'!$H$19,1,IF($C23&lt;='Format Engine'!$H$20,2,3))))</f>
      </c>
      <c r="C23" s="350">
        <f>IF(ROW()-4&lt;='Format Engine'!$H$13,ROW()-4,"")</f>
      </c>
      <c r="D23" s="573" cm="1">
        <f t="array" ref="D23">IF($C23="","",IF(OR($C23=1,$C23='Format Engine'!$H$18+1,$C23='Format Engine'!$H$19+1,$C23='Format Engine'!$H$20+1),INDEX(Inputs!$C$26:$C$29,IF($C23&lt;='Format Engine'!$H$18,1,IF($C23&lt;='Format Engine'!$H$19,2,IF($C23&lt;='Format Engine'!$H$20,3,4)))),H22+TIME(0,$C$38,0)))</f>
      </c>
      <c r="E23" s="344">
        <f t="shared" si="1"/>
      </c>
      <c r="F23" s="344">
        <f t="shared" si="2"/>
      </c>
      <c r="G23" s="344">
        <f t="shared" si="3"/>
      </c>
      <c r="H23" s="344">
        <f t="shared" si="4"/>
      </c>
      <c r="I23" s="350" cm="1">
        <f t="array" ref="I23">IF($C23="","",INDEX(_xlfn.ANCHORARRAY('Format Engine'!$J$23),$C23,2))</f>
      </c>
      <c r="J23" s="350" cm="1">
        <f t="array" ref="J23">IF($C23="","",INDEX(_xlfn.ANCHORARRAY('Format Engine'!$J$23),$C23,3))</f>
      </c>
      <c r="K23" s="350" cm="1">
        <f t="array" ref="K23">IF($C23="","",IF(INDEX(_xlfn.ANCHORARRAY('Format Engine'!$J$23),$C23,6)=0,"",INDEX(_xlfn.ANCHORARRAY('Format Engine'!$J$23),$C23,6)))</f>
      </c>
      <c r="L23" s="350" cm="1">
        <f t="array" ref="L23">IF($C23="","",INDEX(_xlfn.ANCHORARRAY('Format Engine'!$J$23),$C23,4))</f>
      </c>
      <c r="M23" s="350" cm="1">
        <f t="array" ref="M23">IF($C23="","",INDEX(_xlfn.ANCHORARRAY('Format Engine'!$J$23),$C23,5))</f>
      </c>
      <c r="N23" s="350">
        <f>IF($C23="","",IF($J23="P",IFERROR(INDEX('Standings Engine'!$A$4:$A$16,MATCH($L23,'Standings Engine'!$J$4:$J$16,0)),"TBD"),IFERROR(INDEX('Teams Master'!$C$2:$C$14,MATCH($L23,'Teams Master'!$E$2:$E$14,0)),"TBD")))</f>
      </c>
      <c r="O23" s="350">
        <f>IF($C23="","",IF($J23="P",IFERROR(INDEX('Standings Engine'!$A$4:$A$16,MATCH($M23,'Standings Engine'!$J$4:$J$16,0)),"TBD"),IFERROR(INDEX('Teams Master'!$C$2:$C$14,MATCH($M23,'Teams Master'!$E$2:$E$14,0)),"TBD")))</f>
      </c>
      <c r="P23" s="186" t="s">
        <v>843</v>
      </c>
      <c r="Q23" s="350">
        <f>IF($C23="","",IFERROR(INDEX(Rankings!$E$25:$E$37,MATCH(N23,Rankings!$B$25:$B$37,0)),"TBD"))</f>
      </c>
      <c r="R23" s="350">
        <f>IF($C23="","",IFERROR(IF(INDEX(Rankings!$E$25:$E$37,MATCH(O23,Rankings!$B$25:$B$37,0))=Q23,INDEX(Rankings!$F$25:$F$37,MATCH(O23,Rankings!$B$25:$B$37,0)),INDEX(Rankings!$E$25:$E$37,MATCH(O23,Rankings!$B$25:$B$37,0))),"TBD"))</f>
      </c>
      <c r="S23" s="683"/>
      <c r="T23" s="683"/>
      <c r="U23" s="186">
        <f t="shared" si="5"/>
      </c>
      <c r="V23" s="650">
        <f t="shared" si="6"/>
      </c>
      <c r="W23" s="651">
        <f t="shared" si="0"/>
      </c>
      <c r="X23" s="651" t="s">
        <v>840</v>
      </c>
      <c r="Y23" s="651" t="s">
        <v>841</v>
      </c>
      <c r="Z23" s="651" t="s">
        <v>846</v>
      </c>
      <c r="AA23" s="651" t="s">
        <v>616</v>
      </c>
      <c r="AB23" s="649">
        <f>IF($N23="","",_xlfn.LET(_xlpm.pairCal,IFERROR(INDEX('Referees Master'!$U$4:$U$8,MATCH($P23,'Referees Master'!$T$4:$T$8,0)),""),_xlpm.isCalGame,OR(ISNUMBER(SEARCH("HAR",$N23)),ISNUMBER(SEARCH("HAR",$O23))),IF(_xlpm.pairCal="","n/a",IF(AND(_xlpm.pairCal="Yes",_xlpm.isCalGame),"⚠ CONFLICT","OK"))))</f>
      </c>
    </row>
    <row r="24" spans="1:28" ht="15.75" customHeight="1">
      <c r="B24" s="658">
        <f>IF($C24="","",(Inputs!$C$22-('Format Engine'!$H$22-3))+IF($C24&lt;='Format Engine'!$H$18,0,IF($C24&lt;='Format Engine'!$H$19,1,IF($C24&lt;='Format Engine'!$H$20,2,3))))</f>
      </c>
      <c r="C24" s="351">
        <f>IF(ROW()-4&lt;='Format Engine'!$H$13,ROW()-4,"")</f>
      </c>
      <c r="D24" s="574" cm="1">
        <f t="array" ref="D24">IF($C24="","",IF(OR($C24=1,$C24='Format Engine'!$H$18+1,$C24='Format Engine'!$H$19+1,$C24='Format Engine'!$H$20+1),INDEX(Inputs!$C$26:$C$29,IF($C24&lt;='Format Engine'!$H$18,1,IF($C24&lt;='Format Engine'!$H$19,2,IF($C24&lt;='Format Engine'!$H$20,3,4)))),H23+TIME(0,$C$38,0)))</f>
      </c>
      <c r="E24" s="345">
        <f t="shared" si="1"/>
      </c>
      <c r="F24" s="345">
        <f t="shared" si="2"/>
      </c>
      <c r="G24" s="345">
        <f t="shared" si="3"/>
      </c>
      <c r="H24" s="345">
        <f t="shared" si="4"/>
      </c>
      <c r="I24" s="351" cm="1">
        <f t="array" ref="I24">IF($C24="","",INDEX(_xlfn.ANCHORARRAY('Format Engine'!$J$23),$C24,2))</f>
      </c>
      <c r="J24" s="351" cm="1">
        <f t="array" ref="J24">IF($C24="","",INDEX(_xlfn.ANCHORARRAY('Format Engine'!$J$23),$C24,3))</f>
      </c>
      <c r="K24" s="351" cm="1">
        <f t="array" ref="K24">IF($C24="","",IF(INDEX(_xlfn.ANCHORARRAY('Format Engine'!$J$23),$C24,6)=0,"",INDEX(_xlfn.ANCHORARRAY('Format Engine'!$J$23),$C24,6)))</f>
      </c>
      <c r="L24" s="351" cm="1">
        <f t="array" ref="L24">IF($C24="","",INDEX(_xlfn.ANCHORARRAY('Format Engine'!$J$23),$C24,4))</f>
      </c>
      <c r="M24" s="351" cm="1">
        <f t="array" ref="M24">IF($C24="","",INDEX(_xlfn.ANCHORARRAY('Format Engine'!$J$23),$C24,5))</f>
      </c>
      <c r="N24" s="351">
        <f>IF($C24="","",IF($J24="P",IFERROR(INDEX('Standings Engine'!$A$4:$A$16,MATCH($L24,'Standings Engine'!$J$4:$J$16,0)),"TBD"),IFERROR(INDEX('Teams Master'!$C$2:$C$14,MATCH($L24,'Teams Master'!$E$2:$E$14,0)),"TBD")))</f>
      </c>
      <c r="O24" s="351">
        <f>IF($C24="","",IF($J24="P",IFERROR(INDEX('Standings Engine'!$A$4:$A$16,MATCH($M24,'Standings Engine'!$J$4:$J$16,0)),"TBD"),IFERROR(INDEX('Teams Master'!$C$2:$C$14,MATCH($M24,'Teams Master'!$E$2:$E$14,0)),"TBD")))</f>
      </c>
      <c r="P24" s="187" t="s">
        <v>827</v>
      </c>
      <c r="Q24" s="351">
        <f>IF($C24="","",IFERROR(INDEX(Rankings!$E$25:$E$37,MATCH(N24,Rankings!$B$25:$B$37,0)),"TBD"))</f>
      </c>
      <c r="R24" s="351">
        <f>IF($C24="","",IFERROR(IF(INDEX(Rankings!$E$25:$E$37,MATCH(O24,Rankings!$B$25:$B$37,0))=Q24,INDEX(Rankings!$F$25:$F$37,MATCH(O24,Rankings!$B$25:$B$37,0)),INDEX(Rankings!$E$25:$E$37,MATCH(O24,Rankings!$B$25:$B$37,0))),"TBD"))</f>
      </c>
      <c r="S24" s="684"/>
      <c r="T24" s="684"/>
      <c r="U24" s="187">
        <f t="shared" si="5"/>
      </c>
      <c r="V24" s="647">
        <f t="shared" si="6"/>
      </c>
      <c r="W24" s="648">
        <f t="shared" si="0"/>
      </c>
      <c r="X24" s="648" t="s">
        <v>844</v>
      </c>
      <c r="Y24" s="648" t="s">
        <v>845</v>
      </c>
      <c r="Z24" s="648" t="s">
        <v>849</v>
      </c>
      <c r="AA24" s="648" t="s">
        <v>619</v>
      </c>
      <c r="AB24" s="649">
        <f>IF($N24="","",_xlfn.LET(_xlpm.pairCal,IFERROR(INDEX('Referees Master'!$U$4:$U$8,MATCH($P24,'Referees Master'!$T$4:$T$8,0)),""),_xlpm.isCalGame,OR(ISNUMBER(SEARCH("HAR",$N24)),ISNUMBER(SEARCH("HAR",$O24))),IF(_xlpm.pairCal="","n/a",IF(AND(_xlpm.pairCal="Yes",_xlpm.isCalGame),"⚠ CONFLICT","OK"))))</f>
      </c>
    </row>
    <row r="25" spans="1:28" ht="15.75" customHeight="1">
      <c r="B25" s="656">
        <f>IF($C25="","",(Inputs!$C$22-('Format Engine'!$H$22-3))+IF($C25&lt;='Format Engine'!$H$18,0,IF($C25&lt;='Format Engine'!$H$19,1,IF($C25&lt;='Format Engine'!$H$20,2,3))))</f>
      </c>
      <c r="C25" s="657">
        <f>IF(ROW()-4&lt;='Format Engine'!$H$13,ROW()-4,"")</f>
      </c>
      <c r="D25" s="532" cm="1">
        <f t="array" ref="D25">IF($C25="","",IF(OR($C25=1,$C25='Format Engine'!$H$18+1,$C25='Format Engine'!$H$19+1,$C25='Format Engine'!$H$20+1),INDEX(Inputs!$C$26:$C$29,IF($C25&lt;='Format Engine'!$H$18,1,IF($C25&lt;='Format Engine'!$H$19,2,IF($C25&lt;='Format Engine'!$H$20,3,4)))),H24+TIME(0,$C$38,0)))</f>
      </c>
      <c r="E25" s="533">
        <f t="shared" si="1"/>
      </c>
      <c r="F25" s="534">
        <f t="shared" si="2"/>
      </c>
      <c r="G25" s="534">
        <f t="shared" si="3"/>
      </c>
      <c r="H25" s="534">
        <f t="shared" si="4"/>
      </c>
      <c r="I25" s="350" cm="1">
        <f t="array" ref="I25">IF($C25="","",INDEX(_xlfn.ANCHORARRAY('Format Engine'!$J$23),$C25,2))</f>
      </c>
      <c r="J25" s="350" cm="1">
        <f t="array" ref="J25">IF($C25="","",INDEX(_xlfn.ANCHORARRAY('Format Engine'!$J$23),$C25,3))</f>
      </c>
      <c r="K25" s="350" cm="1">
        <f t="array" ref="K25">IF($C25="","",IF(INDEX(_xlfn.ANCHORARRAY('Format Engine'!$J$23),$C25,6)=0,"",INDEX(_xlfn.ANCHORARRAY('Format Engine'!$J$23),$C25,6)))</f>
      </c>
      <c r="L25" s="350" cm="1">
        <f t="array" ref="L25">IF($C25="","",INDEX(_xlfn.ANCHORARRAY('Format Engine'!$J$23),$C25,4))</f>
      </c>
      <c r="M25" s="350" cm="1">
        <f t="array" ref="M25">IF($C25="","",INDEX(_xlfn.ANCHORARRAY('Format Engine'!$J$23),$C25,5))</f>
      </c>
      <c r="N25" s="350">
        <f>IF($C25="","",IF($J25="P",IFERROR(INDEX('Standings Engine'!$A$4:$A$16,MATCH($L25,'Standings Engine'!$J$4:$J$16,0)),"TBD"),IFERROR(INDEX('Teams Master'!$C$2:$C$14,MATCH($L25,'Teams Master'!$E$2:$E$14,0)),"TBD")))</f>
      </c>
      <c r="O25" s="350">
        <f>IF($C25="","",IF($J25="P",IFERROR(INDEX('Standings Engine'!$A$4:$A$16,MATCH($M25,'Standings Engine'!$J$4:$J$16,0)),"TBD"),IFERROR(INDEX('Teams Master'!$C$2:$C$14,MATCH($M25,'Teams Master'!$E$2:$E$14,0)),"TBD")))</f>
      </c>
      <c r="P25" s="186" t="s">
        <v>831</v>
      </c>
      <c r="Q25" s="350">
        <f>IF($C25="","",IFERROR(INDEX(Rankings!$E$25:$E$37,MATCH(N25,Rankings!$B$25:$B$37,0)),"TBD"))</f>
      </c>
      <c r="R25" s="350">
        <f>IF($C25="","",IFERROR(IF(INDEX(Rankings!$E$25:$E$37,MATCH(O25,Rankings!$B$25:$B$37,0))=Q25,INDEX(Rankings!$F$25:$F$37,MATCH(O25,Rankings!$B$25:$B$37,0)),INDEX(Rankings!$E$25:$E$37,MATCH(O25,Rankings!$B$25:$B$37,0))),"TBD"))</f>
      </c>
      <c r="S25" s="683"/>
      <c r="T25" s="683"/>
      <c r="U25" s="186">
        <f t="shared" si="5"/>
      </c>
      <c r="V25" s="650">
        <f t="shared" si="6"/>
      </c>
      <c r="W25" s="651">
        <f t="shared" si="0"/>
      </c>
      <c r="X25" s="651" t="s">
        <v>847</v>
      </c>
      <c r="Y25" s="651" t="s">
        <v>848</v>
      </c>
      <c r="Z25" s="651" t="s">
        <v>852</v>
      </c>
      <c r="AA25" s="651" t="s">
        <v>619</v>
      </c>
      <c r="AB25" s="649">
        <f>IF($N25="","",_xlfn.LET(_xlpm.pairCal,IFERROR(INDEX('Referees Master'!$U$4:$U$8,MATCH($P25,'Referees Master'!$T$4:$T$8,0)),""),_xlpm.isCalGame,OR(ISNUMBER(SEARCH("HAR",$N25)),ISNUMBER(SEARCH("HAR",$O25))),IF(_xlpm.pairCal="","n/a",IF(AND(_xlpm.pairCal="Yes",_xlpm.isCalGame),"⚠ CONFLICT","OK"))))</f>
      </c>
    </row>
    <row r="26" spans="1:28" ht="15.75" customHeight="1">
      <c r="B26" s="658">
        <f>IF($C26="","",(Inputs!$C$22-('Format Engine'!$H$22-3))+IF($C26&lt;='Format Engine'!$H$18,0,IF($C26&lt;='Format Engine'!$H$19,1,IF($C26&lt;='Format Engine'!$H$20,2,3))))</f>
      </c>
      <c r="C26" s="351">
        <f>IF(ROW()-4&lt;='Format Engine'!$H$13,ROW()-4,"")</f>
      </c>
      <c r="D26" s="575" cm="1">
        <f t="array" ref="D26">IF($C26="","",IF(OR($C26=1,$C26='Format Engine'!$H$18+1,$C26='Format Engine'!$H$19+1,$C26='Format Engine'!$H$20+1),INDEX(Inputs!$C$26:$C$29,IF($C26&lt;='Format Engine'!$H$18,1,IF($C26&lt;='Format Engine'!$H$19,2,IF($C26&lt;='Format Engine'!$H$20,3,4)))),H25+TIME(0,$C$38,0)))</f>
      </c>
      <c r="E26" s="346">
        <f t="shared" si="1"/>
      </c>
      <c r="F26" s="345">
        <f t="shared" si="2"/>
      </c>
      <c r="G26" s="345">
        <f t="shared" si="3"/>
      </c>
      <c r="H26" s="345">
        <f t="shared" si="4"/>
      </c>
      <c r="I26" s="351" cm="1">
        <f t="array" ref="I26">IF($C26="","",INDEX(_xlfn.ANCHORARRAY('Format Engine'!$J$23),$C26,2))</f>
      </c>
      <c r="J26" s="351" cm="1">
        <f t="array" ref="J26">IF($C26="","",INDEX(_xlfn.ANCHORARRAY('Format Engine'!$J$23),$C26,3))</f>
      </c>
      <c r="K26" s="351" cm="1">
        <f t="array" ref="K26">IF($C26="","",IF(INDEX(_xlfn.ANCHORARRAY('Format Engine'!$J$23),$C26,6)=0,"",INDEX(_xlfn.ANCHORARRAY('Format Engine'!$J$23),$C26,6)))</f>
      </c>
      <c r="L26" s="351" cm="1">
        <f t="array" ref="L26">IF($C26="","",INDEX(_xlfn.ANCHORARRAY('Format Engine'!$J$23),$C26,4))</f>
      </c>
      <c r="M26" s="351" cm="1">
        <f t="array" ref="M26">IF($C26="","",INDEX(_xlfn.ANCHORARRAY('Format Engine'!$J$23),$C26,5))</f>
      </c>
      <c r="N26" s="351">
        <f>IF($C26="","",IF($J26="P",IFERROR(INDEX('Standings Engine'!$A$4:$A$16,MATCH($L26,'Standings Engine'!$J$4:$J$16,0)),"TBD"),IFERROR(INDEX('Teams Master'!$C$2:$C$14,MATCH($L26,'Teams Master'!$E$2:$E$14,0)),"TBD")))</f>
      </c>
      <c r="O26" s="351">
        <f>IF($C26="","",IF($J26="P",IFERROR(INDEX('Standings Engine'!$A$4:$A$16,MATCH($M26,'Standings Engine'!$J$4:$J$16,0)),"TBD"),IFERROR(INDEX('Teams Master'!$C$2:$C$14,MATCH($M26,'Teams Master'!$E$2:$E$14,0)),"TBD")))</f>
      </c>
      <c r="P26" s="187" t="s">
        <v>843</v>
      </c>
      <c r="Q26" s="351">
        <f>IF($C26="","",IFERROR(INDEX(Rankings!$E$25:$E$37,MATCH(N26,Rankings!$B$25:$B$37,0)),"TBD"))</f>
      </c>
      <c r="R26" s="351">
        <f>IF($C26="","",IFERROR(IF(INDEX(Rankings!$E$25:$E$37,MATCH(O26,Rankings!$B$25:$B$37,0))=Q26,INDEX(Rankings!$F$25:$F$37,MATCH(O26,Rankings!$B$25:$B$37,0)),INDEX(Rankings!$E$25:$E$37,MATCH(O26,Rankings!$B$25:$B$37,0))),"TBD"))</f>
      </c>
      <c r="S26" s="684"/>
      <c r="T26" s="684"/>
      <c r="U26" s="187">
        <f t="shared" si="5"/>
      </c>
      <c r="V26" s="647">
        <f t="shared" si="6"/>
      </c>
      <c r="W26" s="648">
        <f t="shared" si="0"/>
      </c>
      <c r="X26" s="648" t="s">
        <v>850</v>
      </c>
      <c r="Y26" s="648" t="s">
        <v>851</v>
      </c>
      <c r="Z26" s="648" t="s">
        <v>855</v>
      </c>
      <c r="AA26" s="648" t="s">
        <v>619</v>
      </c>
      <c r="AB26" s="649">
        <f>IF($N26="","",_xlfn.LET(_xlpm.pairCal,IFERROR(INDEX('Referees Master'!$U$4:$U$8,MATCH($P26,'Referees Master'!$T$4:$T$8,0)),""),_xlpm.isCalGame,OR(ISNUMBER(SEARCH("HAR",$N26)),ISNUMBER(SEARCH("HAR",$O26))),IF(_xlpm.pairCal="","n/a",IF(AND(_xlpm.pairCal="Yes",_xlpm.isCalGame),"⚠ CONFLICT","OK"))))</f>
      </c>
    </row>
    <row r="27" spans="1:28" ht="15.75" customHeight="1">
      <c r="B27" s="655">
        <f>IF($C27="","",(Inputs!$C$22-('Format Engine'!$H$22-3))+IF($C27&lt;='Format Engine'!$H$18,0,IF($C27&lt;='Format Engine'!$H$19,1,IF($C27&lt;='Format Engine'!$H$20,2,3))))</f>
      </c>
      <c r="C27" s="350">
        <f>IF(ROW()-4&lt;='Format Engine'!$H$13,ROW()-4,"")</f>
      </c>
      <c r="D27" s="339" cm="1">
        <f t="array" ref="D27">IF($C27="","",IF(OR($C27=1,$C27='Format Engine'!$H$18+1,$C27='Format Engine'!$H$19+1,$C27='Format Engine'!$H$20+1),INDEX(Inputs!$C$26:$C$29,IF($C27&lt;='Format Engine'!$H$18,1,IF($C27&lt;='Format Engine'!$H$19,2,IF($C27&lt;='Format Engine'!$H$20,3,4)))),H26+TIME(0,$C$38,0)))</f>
      </c>
      <c r="E27" s="343">
        <f t="shared" si="1"/>
      </c>
      <c r="F27" s="344">
        <f t="shared" si="2"/>
      </c>
      <c r="G27" s="344">
        <f t="shared" si="3"/>
      </c>
      <c r="H27" s="344">
        <f t="shared" si="4"/>
      </c>
      <c r="I27" s="350" cm="1">
        <f t="array" ref="I27">IF($C27="","",INDEX(_xlfn.ANCHORARRAY('Format Engine'!$J$23),$C27,2))</f>
      </c>
      <c r="J27" s="350" cm="1">
        <f t="array" ref="J27">IF($C27="","",INDEX(_xlfn.ANCHORARRAY('Format Engine'!$J$23),$C27,3))</f>
      </c>
      <c r="K27" s="350" cm="1">
        <f t="array" ref="K27">IF($C27="","",IF(INDEX(_xlfn.ANCHORARRAY('Format Engine'!$J$23),$C27,6)=0,"",INDEX(_xlfn.ANCHORARRAY('Format Engine'!$J$23),$C27,6)))</f>
      </c>
      <c r="L27" s="350" cm="1">
        <f t="array" ref="L27">IF($C27="","",INDEX(_xlfn.ANCHORARRAY('Format Engine'!$J$23),$C27,4))</f>
      </c>
      <c r="M27" s="350" cm="1">
        <f t="array" ref="M27">IF($C27="","",INDEX(_xlfn.ANCHORARRAY('Format Engine'!$J$23),$C27,5))</f>
      </c>
      <c r="N27" s="525">
        <f>IF($C27="","",IF($J27="P",IFERROR(INDEX('Standings Engine'!$A$4:$A$16,MATCH($L27,'Standings Engine'!$J$4:$J$16,0)),"TBD"),IFERROR(INDEX('Teams Master'!$C$2:$C$14,MATCH($L27,'Teams Master'!$E$2:$E$14,0)),"TBD")))</f>
      </c>
      <c r="O27" s="525">
        <f>IF($C27="","",IF($J27="P",IFERROR(INDEX('Standings Engine'!$A$4:$A$16,MATCH($M27,'Standings Engine'!$J$4:$J$16,0)),"TBD"),IFERROR(INDEX('Teams Master'!$C$2:$C$14,MATCH($M27,'Teams Master'!$E$2:$E$14,0)),"TBD")))</f>
      </c>
      <c r="P27" s="186" t="s">
        <v>827</v>
      </c>
      <c r="Q27" s="350">
        <f>IF($C27="","",IFERROR(INDEX(Rankings!$E$25:$E$37,MATCH(N27,Rankings!$B$25:$B$37,0)),"TBD"))</f>
      </c>
      <c r="R27" s="350">
        <f>IF($C27="","",IFERROR(IF(INDEX(Rankings!$E$25:$E$37,MATCH(O27,Rankings!$B$25:$B$37,0))=Q27,INDEX(Rankings!$F$25:$F$37,MATCH(O27,Rankings!$B$25:$B$37,0)),INDEX(Rankings!$E$25:$E$37,MATCH(O27,Rankings!$B$25:$B$37,0))),"TBD"))</f>
      </c>
      <c r="S27" s="683"/>
      <c r="T27" s="683"/>
      <c r="U27" s="186">
        <f t="shared" si="5"/>
      </c>
      <c r="V27" s="650">
        <f t="shared" si="6"/>
      </c>
      <c r="W27" s="651">
        <f t="shared" si="0"/>
      </c>
      <c r="X27" s="651" t="s">
        <v>853</v>
      </c>
      <c r="Y27" s="651" t="s">
        <v>854</v>
      </c>
      <c r="Z27" s="651" t="s">
        <v>858</v>
      </c>
      <c r="AA27" s="651" t="s">
        <v>619</v>
      </c>
      <c r="AB27" s="649">
        <f>IF($N27="","",_xlfn.LET(_xlpm.pairCal,IFERROR(INDEX('Referees Master'!$U$4:$U$8,MATCH($P27,'Referees Master'!$T$4:$T$8,0)),""),_xlpm.isCalGame,OR(ISNUMBER(SEARCH("HAR",$N27)),ISNUMBER(SEARCH("HAR",$O27))),IF(_xlpm.pairCal="","n/a",IF(AND(_xlpm.pairCal="Yes",_xlpm.isCalGame),"⚠ CONFLICT","OK"))))</f>
      </c>
    </row>
    <row r="28" spans="1:28" ht="15.75" customHeight="1">
      <c r="B28" s="658">
        <f>IF($C28="","",(Inputs!$C$22-('Format Engine'!$H$22-3))+IF($C28&lt;='Format Engine'!$H$18,0,IF($C28&lt;='Format Engine'!$H$19,1,IF($C28&lt;='Format Engine'!$H$20,2,3))))</f>
      </c>
      <c r="C28" s="351">
        <f>IF(ROW()-4&lt;='Format Engine'!$H$13,ROW()-4,"")</f>
      </c>
      <c r="D28" s="575" cm="1">
        <f t="array" ref="D28">IF($C28="","",IF(OR($C28=1,$C28='Format Engine'!$H$18+1,$C28='Format Engine'!$H$19+1,$C28='Format Engine'!$H$20+1),INDEX(Inputs!$C$26:$C$29,IF($C28&lt;='Format Engine'!$H$18,1,IF($C28&lt;='Format Engine'!$H$19,2,IF($C28&lt;='Format Engine'!$H$20,3,4)))),H27+TIME(0,$C$38,0)))</f>
      </c>
      <c r="E28" s="346">
        <f t="shared" si="1"/>
      </c>
      <c r="F28" s="345">
        <f t="shared" si="2"/>
      </c>
      <c r="G28" s="345">
        <f t="shared" si="3"/>
      </c>
      <c r="H28" s="345">
        <f t="shared" si="4"/>
      </c>
      <c r="I28" s="351" cm="1">
        <f t="array" ref="I28">IF($C28="","",INDEX(_xlfn.ANCHORARRAY('Format Engine'!$J$23),$C28,2))</f>
      </c>
      <c r="J28" s="351" cm="1">
        <f t="array" ref="J28">IF($C28="","",INDEX(_xlfn.ANCHORARRAY('Format Engine'!$J$23),$C28,3))</f>
      </c>
      <c r="K28" s="351" cm="1">
        <f t="array" ref="K28">IF($C28="","",IF(INDEX(_xlfn.ANCHORARRAY('Format Engine'!$J$23),$C28,6)=0,"",INDEX(_xlfn.ANCHORARRAY('Format Engine'!$J$23),$C28,6)))</f>
      </c>
      <c r="L28" s="351" cm="1">
        <f t="array" ref="L28">IF($C28="","",INDEX(_xlfn.ANCHORARRAY('Format Engine'!$J$23),$C28,4))</f>
      </c>
      <c r="M28" s="351" cm="1">
        <f t="array" ref="M28">IF($C28="","",INDEX(_xlfn.ANCHORARRAY('Format Engine'!$J$23),$C28,5))</f>
      </c>
      <c r="N28" s="524">
        <f>IF($C28="","",IF($J28="P",IFERROR(INDEX('Standings Engine'!$A$4:$A$16,MATCH($L28,'Standings Engine'!$J$4:$J$16,0)),"TBD"),IFERROR(INDEX('Teams Master'!$C$2:$C$14,MATCH($L28,'Teams Master'!$E$2:$E$14,0)),"TBD")))</f>
      </c>
      <c r="O28" s="524">
        <f>IF($C28="","",IF($J28="P",IFERROR(INDEX('Standings Engine'!$A$4:$A$16,MATCH($M28,'Standings Engine'!$J$4:$J$16,0)),"TBD"),IFERROR(INDEX('Teams Master'!$C$2:$C$14,MATCH($M28,'Teams Master'!$E$2:$E$14,0)),"TBD")))</f>
      </c>
      <c r="P28" s="187" t="s">
        <v>831</v>
      </c>
      <c r="Q28" s="351">
        <f>IF($C28="","",IFERROR(INDEX(Rankings!$E$25:$E$37,MATCH(N28,Rankings!$B$25:$B$37,0)),"TBD"))</f>
      </c>
      <c r="R28" s="351">
        <f>IF($C28="","",IFERROR(IF(INDEX(Rankings!$E$25:$E$37,MATCH(O28,Rankings!$B$25:$B$37,0))=Q28,INDEX(Rankings!$F$25:$F$37,MATCH(O28,Rankings!$B$25:$B$37,0)),INDEX(Rankings!$E$25:$E$37,MATCH(O28,Rankings!$B$25:$B$37,0))),"TBD"))</f>
      </c>
      <c r="S28" s="684"/>
      <c r="T28" s="684"/>
      <c r="U28" s="187">
        <f t="shared" si="5"/>
      </c>
      <c r="V28" s="647">
        <f t="shared" si="6"/>
      </c>
      <c r="W28" s="648">
        <f t="shared" si="0"/>
      </c>
      <c r="X28" s="648" t="s">
        <v>856</v>
      </c>
      <c r="Y28" s="648" t="s">
        <v>857</v>
      </c>
      <c r="Z28" s="648" t="s">
        <v>861</v>
      </c>
      <c r="AA28" s="648" t="s">
        <v>616</v>
      </c>
      <c r="AB28" s="649">
        <f>IF($N28="","",_xlfn.LET(_xlpm.pairCal,IFERROR(INDEX('Referees Master'!$U$4:$U$8,MATCH($P28,'Referees Master'!$T$4:$T$8,0)),""),_xlpm.isCalGame,OR(ISNUMBER(SEARCH("HAR",$N28)),ISNUMBER(SEARCH("HAR",$O28))),IF(_xlpm.pairCal="","n/a",IF(AND(_xlpm.pairCal="Yes",_xlpm.isCalGame),"⚠ CONFLICT","OK"))))</f>
      </c>
    </row>
    <row r="29" spans="1:28" ht="15.75" customHeight="1">
      <c r="B29" s="655">
        <f>IF($C29="","",(Inputs!$C$22-('Format Engine'!$H$22-3))+IF($C29&lt;='Format Engine'!$H$18,0,IF($C29&lt;='Format Engine'!$H$19,1,IF($C29&lt;='Format Engine'!$H$20,2,3))))</f>
      </c>
      <c r="C29" s="350">
        <f>IF(ROW()-4&lt;='Format Engine'!$H$13,ROW()-4,"")</f>
      </c>
      <c r="D29" s="339" cm="1">
        <f t="array" ref="D29">IF($C29="","",IF(OR($C29=1,$C29='Format Engine'!$H$18+1,$C29='Format Engine'!$H$19+1,$C29='Format Engine'!$H$20+1),INDEX(Inputs!$C$26:$C$29,IF($C29&lt;='Format Engine'!$H$18,1,IF($C29&lt;='Format Engine'!$H$19,2,IF($C29&lt;='Format Engine'!$H$20,3,4)))),H28+TIME(0,$C$38,0)))</f>
      </c>
      <c r="E29" s="343">
        <f t="shared" si="1"/>
      </c>
      <c r="F29" s="344">
        <f t="shared" si="2"/>
      </c>
      <c r="G29" s="344">
        <f t="shared" si="3"/>
      </c>
      <c r="H29" s="344">
        <f t="shared" si="4"/>
      </c>
      <c r="I29" s="350" cm="1">
        <f t="array" ref="I29">IF($C29="","",INDEX(_xlfn.ANCHORARRAY('Format Engine'!$J$23),$C29,2))</f>
      </c>
      <c r="J29" s="350" cm="1">
        <f t="array" ref="J29">IF($C29="","",INDEX(_xlfn.ANCHORARRAY('Format Engine'!$J$23),$C29,3))</f>
      </c>
      <c r="K29" s="350" cm="1">
        <f t="array" ref="K29">IF($C29="","",IF(INDEX(_xlfn.ANCHORARRAY('Format Engine'!$J$23),$C29,6)=0,"",INDEX(_xlfn.ANCHORARRAY('Format Engine'!$J$23),$C29,6)))</f>
      </c>
      <c r="L29" s="350" cm="1">
        <f t="array" ref="L29">IF($C29="","",INDEX(_xlfn.ANCHORARRAY('Format Engine'!$J$23),$C29,4))</f>
      </c>
      <c r="M29" s="350" cm="1">
        <f t="array" ref="M29">IF($C29="","",INDEX(_xlfn.ANCHORARRAY('Format Engine'!$J$23),$C29,5))</f>
      </c>
      <c r="N29" s="525">
        <f>IF($C29="","",IF($J29="P",IFERROR(INDEX('Standings Engine'!$A$4:$A$16,MATCH($L29,'Standings Engine'!$J$4:$J$16,0)),"TBD"),IFERROR(INDEX('Teams Master'!$C$2:$C$14,MATCH($L29,'Teams Master'!$E$2:$E$14,0)),"TBD")))</f>
      </c>
      <c r="O29" s="525">
        <f>IF($C29="","",IF($J29="P",IFERROR(INDEX('Standings Engine'!$A$4:$A$16,MATCH($M29,'Standings Engine'!$J$4:$J$16,0)),"TBD"),IFERROR(INDEX('Teams Master'!$C$2:$C$14,MATCH($M29,'Teams Master'!$E$2:$E$14,0)),"TBD")))</f>
      </c>
      <c r="P29" s="186" t="s">
        <v>876</v>
      </c>
      <c r="Q29" s="350">
        <f>IF($C29="","",IFERROR(INDEX(Rankings!$E$25:$E$37,MATCH(N29,Rankings!$B$25:$B$37,0)),"TBD"))</f>
      </c>
      <c r="R29" s="350">
        <f>IF($C29="","",IFERROR(IF(INDEX(Rankings!$E$25:$E$37,MATCH(O29,Rankings!$B$25:$B$37,0))=Q29,INDEX(Rankings!$F$25:$F$37,MATCH(O29,Rankings!$B$25:$B$37,0)),INDEX(Rankings!$E$25:$E$37,MATCH(O29,Rankings!$B$25:$B$37,0))),"TBD"))</f>
      </c>
      <c r="S29" s="683"/>
      <c r="T29" s="683"/>
      <c r="U29" s="186">
        <f t="shared" si="5"/>
      </c>
      <c r="V29" s="650">
        <f t="shared" si="6"/>
      </c>
      <c r="W29" s="651">
        <f t="shared" si="0"/>
      </c>
      <c r="X29" s="651" t="s">
        <v>859</v>
      </c>
      <c r="Y29" s="651" t="s">
        <v>860</v>
      </c>
      <c r="Z29" s="651" t="s">
        <v>864</v>
      </c>
      <c r="AA29" s="651" t="s">
        <v>616</v>
      </c>
      <c r="AB29" s="649">
        <f>IF($N29="","",_xlfn.LET(_xlpm.pairCal,IFERROR(INDEX('Referees Master'!$U$4:$U$8,MATCH($P29,'Referees Master'!$T$4:$T$8,0)),""),_xlpm.isCalGame,OR(ISNUMBER(SEARCH("HAR",$N29)),ISNUMBER(SEARCH("HAR",$O29))),IF(_xlpm.pairCal="","n/a",IF(AND(_xlpm.pairCal="Yes",_xlpm.isCalGame),"⚠ CONFLICT","OK"))))</f>
      </c>
    </row>
    <row r="30" spans="1:28" ht="15.75" customHeight="1">
      <c r="B30" s="658">
        <f>IF($C30="","",(Inputs!$C$22-('Format Engine'!$H$22-3))+IF($C30&lt;='Format Engine'!$H$18,0,IF($C30&lt;='Format Engine'!$H$19,1,IF($C30&lt;='Format Engine'!$H$20,2,3))))</f>
      </c>
      <c r="C30" s="351">
        <f>IF(ROW()-4&lt;='Format Engine'!$H$13,ROW()-4,"")</f>
      </c>
      <c r="D30" s="575" cm="1">
        <f t="array" ref="D30">IF($C30="","",IF(OR($C30=1,$C30='Format Engine'!$H$18+1,$C30='Format Engine'!$H$19+1,$C30='Format Engine'!$H$20+1),INDEX(Inputs!$C$26:$C$29,IF($C30&lt;='Format Engine'!$H$18,1,IF($C30&lt;='Format Engine'!$H$19,2,IF($C30&lt;='Format Engine'!$H$20,3,4)))),H29+TIME(0,$C$38,0)))</f>
      </c>
      <c r="E30" s="346">
        <f t="shared" si="1"/>
      </c>
      <c r="F30" s="345">
        <f t="shared" si="2"/>
      </c>
      <c r="G30" s="345">
        <f t="shared" si="3"/>
      </c>
      <c r="H30" s="345">
        <f t="shared" si="4"/>
      </c>
      <c r="I30" s="351" cm="1">
        <f t="array" ref="I30">IF($C30="","",INDEX(_xlfn.ANCHORARRAY('Format Engine'!$J$23),$C30,2))</f>
      </c>
      <c r="J30" s="351" cm="1">
        <f t="array" ref="J30">IF($C30="","",INDEX(_xlfn.ANCHORARRAY('Format Engine'!$J$23),$C30,3))</f>
      </c>
      <c r="K30" s="351" cm="1">
        <f t="array" ref="K30">IF($C30="","",IF(INDEX(_xlfn.ANCHORARRAY('Format Engine'!$J$23),$C30,6)=0,"",INDEX(_xlfn.ANCHORARRAY('Format Engine'!$J$23),$C30,6)))</f>
      </c>
      <c r="L30" s="351" cm="1">
        <f t="array" ref="L30">IF($C30="","",INDEX(_xlfn.ANCHORARRAY('Format Engine'!$J$23),$C30,4))</f>
      </c>
      <c r="M30" s="351" cm="1">
        <f t="array" ref="M30">IF($C30="","",INDEX(_xlfn.ANCHORARRAY('Format Engine'!$J$23),$C30,5))</f>
      </c>
      <c r="N30" s="524">
        <f>IF($C30="","",IF($J30="P",IFERROR(INDEX('Standings Engine'!$A$4:$A$16,MATCH($L30,'Standings Engine'!$J$4:$J$16,0)),"TBD"),IFERROR(INDEX('Teams Master'!$C$2:$C$14,MATCH($L30,'Teams Master'!$E$2:$E$14,0)),"TBD")))</f>
      </c>
      <c r="O30" s="524">
        <f>IF($C30="","",IF($J30="P",IFERROR(INDEX('Standings Engine'!$A$4:$A$16,MATCH($M30,'Standings Engine'!$J$4:$J$16,0)),"TBD"),IFERROR(INDEX('Teams Master'!$C$2:$C$14,MATCH($M30,'Teams Master'!$E$2:$E$14,0)),"TBD")))</f>
      </c>
      <c r="P30" s="187" t="s">
        <v>876</v>
      </c>
      <c r="Q30" s="351">
        <f>IF($C30="","",IFERROR(INDEX(Rankings!$E$25:$E$37,MATCH(N30,Rankings!$B$25:$B$37,0)),"TBD"))</f>
      </c>
      <c r="R30" s="351">
        <f>IF($C30="","",IFERROR(IF(INDEX(Rankings!$E$25:$E$37,MATCH(O30,Rankings!$B$25:$B$37,0))=Q30,INDEX(Rankings!$F$25:$F$37,MATCH(O30,Rankings!$B$25:$B$37,0)),INDEX(Rankings!$E$25:$E$37,MATCH(O30,Rankings!$B$25:$B$37,0))),"TBD"))</f>
      </c>
      <c r="S30" s="684"/>
      <c r="T30" s="684"/>
      <c r="U30" s="187">
        <f t="shared" si="5"/>
      </c>
      <c r="V30" s="647">
        <f t="shared" si="6"/>
      </c>
      <c r="W30" s="648">
        <f t="shared" si="0"/>
      </c>
      <c r="X30" s="648" t="s">
        <v>862</v>
      </c>
      <c r="Y30" s="648" t="s">
        <v>863</v>
      </c>
      <c r="Z30" s="648" t="s">
        <v>867</v>
      </c>
      <c r="AA30" s="648" t="s">
        <v>616</v>
      </c>
      <c r="AB30" s="649">
        <f>IF($N30="","",_xlfn.LET(_xlpm.pairCal,IFERROR(INDEX('Referees Master'!$U$4:$U$8,MATCH($P30,'Referees Master'!$T$4:$T$8,0)),""),_xlpm.isCalGame,OR(ISNUMBER(SEARCH("HAR",$N30)),ISNUMBER(SEARCH("HAR",$O30))),IF(_xlpm.pairCal="","n/a",IF(AND(_xlpm.pairCal="Yes",_xlpm.isCalGame),"⚠ CONFLICT","OK"))))</f>
      </c>
    </row>
    <row r="31" spans="1:28" ht="15.75" customHeight="1">
      <c r="B31" s="576">
        <f>IF($C31="","",(Inputs!$C$22-('Format Engine'!$H$22-3))+IF($C31&lt;='Format Engine'!$H$18,0,IF($C31&lt;='Format Engine'!$H$19,1,IF($C31&lt;='Format Engine'!$H$20,2,3))))</f>
      </c>
      <c r="C31" s="577">
        <f>IF(ROW()-4&lt;='Format Engine'!$H$13,ROW()-4,"")</f>
      </c>
      <c r="D31" s="578" cm="1">
        <f t="array" ref="D31">IF($C31="","",IF(OR($C31=1,$C31='Format Engine'!$H$18+1,$C31='Format Engine'!$H$19+1,$C31='Format Engine'!$H$20+1),INDEX(Inputs!$C$26:$C$29,IF($C31&lt;='Format Engine'!$H$18,1,IF($C31&lt;='Format Engine'!$H$19,2,IF($C31&lt;='Format Engine'!$H$20,3,4)))),H30+TIME(0,$C$38,0)))</f>
      </c>
      <c r="E31" s="531">
        <f t="shared" si="1"/>
      </c>
      <c r="F31" s="531">
        <f t="shared" si="2"/>
      </c>
      <c r="G31" s="531">
        <f t="shared" si="3"/>
      </c>
      <c r="H31" s="531">
        <f t="shared" si="4"/>
      </c>
      <c r="I31" s="350" cm="1">
        <f t="array" ref="I31">IF($C31="","",INDEX(_xlfn.ANCHORARRAY('Format Engine'!$J$23),$C31,2))</f>
      </c>
      <c r="J31" s="350" cm="1">
        <f t="array" ref="J31">IF($C31="","",INDEX(_xlfn.ANCHORARRAY('Format Engine'!$J$23),$C31,3))</f>
      </c>
      <c r="K31" s="350" cm="1">
        <f t="array" ref="K31">IF($C31="","",IF(INDEX(_xlfn.ANCHORARRAY('Format Engine'!$J$23),$C31,6)=0,"",INDEX(_xlfn.ANCHORARRAY('Format Engine'!$J$23),$C31,6)))</f>
      </c>
      <c r="L31" s="350" cm="1">
        <f t="array" ref="L31">IF($C31="","",INDEX(_xlfn.ANCHORARRAY('Format Engine'!$J$23),$C31,4))</f>
      </c>
      <c r="M31" s="350" cm="1">
        <f t="array" ref="M31">IF($C31="","",INDEX(_xlfn.ANCHORARRAY('Format Engine'!$J$23),$C31,5))</f>
      </c>
      <c r="N31" s="525">
        <f>IF($C31="","",IF($J31="P",IFERROR(INDEX('Standings Engine'!$A$4:$A$16,MATCH($L31,'Standings Engine'!$J$4:$J$16,0)),"TBD"),IFERROR(INDEX('Teams Master'!$C$2:$C$14,MATCH($L31,'Teams Master'!$E$2:$E$14,0)),"TBD")))</f>
      </c>
      <c r="O31" s="710">
        <f>IF($C31="","",IF($J31="P",IFERROR(INDEX('Standings Engine'!$A$4:$A$16,MATCH($M31,'Standings Engine'!$J$4:$J$16,0)),"TBD"),IFERROR(INDEX('Teams Master'!$C$2:$C$14,MATCH($M31,'Teams Master'!$E$2:$E$14,0)),"TBD")))</f>
      </c>
      <c r="P31" s="711" t="s">
        <v>876</v>
      </c>
      <c r="Q31" s="577">
        <f>IF($C31="","",IFERROR(INDEX(Rankings!$E$25:$E$37,MATCH(N31,Rankings!$B$25:$B$37,0)),"TBD"))</f>
      </c>
      <c r="R31" s="577">
        <f>IF($C31="","",IFERROR(IF(INDEX(Rankings!$E$25:$E$37,MATCH(O31,Rankings!$B$25:$B$37,0))=Q31,INDEX(Rankings!$F$25:$F$37,MATCH(O31,Rankings!$B$25:$B$37,0)),INDEX(Rankings!$E$25:$E$37,MATCH(O31,Rankings!$B$25:$B$37,0))),"TBD"))</f>
      </c>
      <c r="S31" s="712"/>
      <c r="T31" s="712"/>
      <c r="U31" s="711">
        <f t="shared" si="5"/>
      </c>
      <c r="V31" s="713">
        <f t="shared" si="6"/>
      </c>
      <c r="W31" s="714">
        <f t="shared" si="0"/>
      </c>
      <c r="X31" s="714" t="s">
        <v>865</v>
      </c>
      <c r="Y31" s="714" t="s">
        <v>866</v>
      </c>
      <c r="Z31" s="714" t="s">
        <v>870</v>
      </c>
      <c r="AA31" s="714" t="s">
        <v>616</v>
      </c>
      <c r="AB31" s="715">
        <f>IF($N31="","",_xlfn.LET(_xlpm.pairCal,IFERROR(INDEX('Referees Master'!$U$4:$U$8,MATCH($P31,'Referees Master'!$T$4:$T$8,0)),""),_xlpm.isCalGame,OR(ISNUMBER(SEARCH("HAR",$N31)),ISNUMBER(SEARCH("HAR",$O31))),IF(_xlpm.pairCal="","n/a",IF(AND(_xlpm.pairCal="Yes",_xlpm.isCalGame),"⚠ CONFLICT","OK"))))</f>
      </c>
    </row>
    <row r="32" spans="1:28" ht="15.75" customHeight="1">
      <c r="O32" s="707"/>
      <c r="P32" s="707"/>
      <c r="Q32" s="707"/>
      <c r="R32" s="707"/>
      <c r="S32" s="707"/>
      <c r="T32" s="707"/>
      <c r="U32" s="707"/>
      <c r="V32" s="707"/>
      <c r="W32" s="707"/>
      <c r="X32" s="707"/>
      <c r="Y32" s="707"/>
      <c r="Z32" s="707"/>
      <c r="AA32" s="707"/>
      <c r="AB32" s="707"/>
    </row>
    <row r="33" spans="2:17" ht="15.75" customHeight="1"/>
    <row r="34" spans="2:17" ht="15.75" customHeight="1">
      <c r="B34" s="5" t="s">
        <v>877</v>
      </c>
      <c r="P34" s="12" t="s">
        <v>878</v>
      </c>
      <c r="Q34" s="13" t="s">
        <v>879</v>
      </c>
    </row>
    <row r="35" spans="2:17" ht="15.75" customHeight="1">
      <c r="B35" s="4" t="s">
        <v>358</v>
      </c>
      <c r="C35" s="685">
        <f>Inputs!C6</f>
      </c>
      <c r="P35" s="632">
        <f>'Referees Master'!T4</f>
      </c>
      <c r="Q35" s="347">
        <f t="shared" ref="Q35:Q38" si="7">COUNTIF($P$5:$P$31,$P35)</f>
      </c>
    </row>
    <row r="36" spans="2:17" ht="15.75" customHeight="1">
      <c r="B36" s="4" t="s">
        <v>359</v>
      </c>
      <c r="C36" s="686">
        <f>Inputs!C7</f>
      </c>
      <c r="P36" s="632">
        <f>'Referees Master'!T5</f>
      </c>
      <c r="Q36" s="347">
        <f t="shared" si="7"/>
      </c>
    </row>
    <row r="37" spans="2:17" ht="15.75" customHeight="1">
      <c r="B37" s="4" t="s">
        <v>343</v>
      </c>
      <c r="C37" s="686">
        <f>Inputs!C8</f>
      </c>
      <c r="P37" s="632">
        <f>'Referees Master'!T6</f>
      </c>
      <c r="Q37" s="347">
        <f t="shared" si="7"/>
      </c>
    </row>
    <row r="38" spans="2:17" ht="15.75" customHeight="1">
      <c r="B38" s="4" t="s">
        <v>880</v>
      </c>
      <c r="C38" s="686">
        <f>Inputs!C9</f>
      </c>
      <c r="P38" s="632">
        <f>'Referees Master'!T7</f>
      </c>
      <c r="Q38" s="347">
        <f t="shared" si="7"/>
      </c>
    </row>
    <row r="39" spans="2:17" ht="15.75" customHeight="1">
      <c r="B39" s="5" t="s">
        <v>621</v>
      </c>
      <c r="C39" s="349">
        <f>SUM(C35:C38)</f>
      </c>
      <c r="P39" s="633">
        <f>'Referees Master'!T8</f>
      </c>
      <c r="Q39" s="348">
        <f>COUNTIF($P$5:$P$31,$P39)</f>
      </c>
    </row>
    <row r="40" spans="2:17" ht="15.75" customHeight="1">
      <c r="L40" s="14"/>
      <c r="Q40" s="192">
        <f>SUM(Q35:Q39)-SUM(C53:C54)</f>
      </c>
    </row>
    <row r="41" spans="2:17" ht="15.75" customHeight="1"/>
    <row r="42" spans="2:17" ht="15.75" customHeight="1">
      <c r="N42" s="15" t="s">
        <v>881</v>
      </c>
      <c r="O42" s="16"/>
      <c r="P42" s="238" t="s">
        <v>882</v>
      </c>
    </row>
    <row r="43" spans="2:17" ht="15.75" customHeight="1">
      <c r="N43" s="17" t="s">
        <v>883</v>
      </c>
      <c r="P43" s="586">
        <f>IF(COUNTIF($AB$5:$AB$31,"*CONFLICT*")=0,"✓ Clear: no host club pair reffing a host club game","⚠ "&amp;COUNTIF($AB$5:$AB$31,"*CONFLICT*")&amp;" conflict(s): see Host Ref Check column")</f>
      </c>
    </row>
    <row r="44" spans="2:17" ht="15.75" customHeight="1">
      <c r="N44" s="17" t="s">
        <v>884</v>
      </c>
    </row>
    <row r="45" spans="2:17" ht="15.75" customHeight="1">
      <c r="N45" s="17" t="s">
        <v>885</v>
      </c>
    </row>
    <row r="46" spans="2:17" ht="15.75" customHeight="1">
      <c r="N46" s="17" t="s">
        <v>886</v>
      </c>
    </row>
    <row r="47" spans="2:17" ht="15.75" customHeight="1">
      <c r="B47" s="6" t="s">
        <v>887</v>
      </c>
      <c r="C47" s="7"/>
    </row>
    <row r="48" spans="2:17" ht="15.75" customHeight="1">
      <c r="B48" s="687" t="s">
        <v>420</v>
      </c>
      <c r="C48" s="688">
        <f t="shared" ref="C48:C49" si="8">SUMIF($J$5:$J$26,$B48,$S$5:$S$31)+SUMIF($J$5:$J$26,$B48,$T$5:$T$31)</f>
      </c>
    </row>
    <row r="49" spans="2:3" ht="15.75" customHeight="1">
      <c r="B49" s="687" t="s">
        <v>423</v>
      </c>
      <c r="C49" s="688">
        <f t="shared" si="8"/>
      </c>
    </row>
    <row r="50" spans="2:3" ht="15.75" customHeight="1">
      <c r="B50" s="689" t="s">
        <v>416</v>
      </c>
      <c r="C50" s="690">
        <f>SUMIF($J$5:$J$31,$B50,$S$5:$S$31)+SUMIF($J$5:$J$31,$B50,$T$5:$T$31)</f>
      </c>
    </row>
    <row r="51" spans="2:3" ht="15.75" customHeight="1"/>
    <row r="52" spans="2:3" ht="15.75" customHeight="1">
      <c r="B52" s="6" t="s">
        <v>108</v>
      </c>
      <c r="C52" s="7"/>
    </row>
    <row r="53" spans="2:3" ht="15.75" customHeight="1">
      <c r="B53" s="687" t="s">
        <v>416</v>
      </c>
      <c r="C53" s="688">
        <f>COUNTIF(I5:I31,B53)</f>
      </c>
    </row>
    <row r="54" spans="2:3" ht="15.75" customHeight="1">
      <c r="B54" s="689" t="s">
        <v>419</v>
      </c>
      <c r="C54" s="690">
        <f>COUNTIF(I5:I31,B54)</f>
      </c>
    </row>
    <row r="55" spans="2:3" ht="15.75" customHeight="1"/>
    <row r="56" spans="2:3" ht="15.75" customHeight="1"/>
    <row r="57" spans="2:3" ht="15.75" customHeight="1"/>
    <row r="58" spans="2:3" ht="15.75" customHeight="1"/>
    <row r="59" spans="2:3" ht="15.75" customHeight="1"/>
    <row r="60" spans="2:3" ht="15.75" customHeight="1"/>
    <row r="61" spans="2:3" ht="15.75" customHeight="1"/>
    <row r="62" spans="2:3" ht="15.75" customHeight="1"/>
    <row r="63" spans="2:3" ht="15.75" customHeight="1"/>
    <row r="64" spans="2: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C3:V3"/>
  </mergeCells>
  <conditionalFormatting sqref="B5:B31">
    <cfRule type="cellIs" dxfId="18" priority="1" operator="equal">
      <formula>$B$45</formula>
    </cfRule>
    <cfRule type="cellIs" dxfId="17" priority="2" operator="equal">
      <formula>$B$44</formula>
    </cfRule>
    <cfRule type="cellIs" dxfId="16" priority="3" operator="equal">
      <formula>$B$43</formula>
    </cfRule>
    <cfRule type="cellIs" dxfId="15" priority="4" operator="equal">
      <formula>$B$42</formula>
    </cfRule>
  </conditionalFormatting>
  <conditionalFormatting sqref="I5:I31">
    <cfRule type="cellIs" dxfId="14" priority="5" operator="equal">
      <formula>"W"</formula>
    </cfRule>
    <cfRule type="cellIs" dxfId="13" priority="6" operator="equal">
      <formula>"M"</formula>
    </cfRule>
  </conditionalFormatting>
  <conditionalFormatting sqref="P43">
    <cfRule type="containsText" dxfId="12" priority="15" operator="containsText" text="⚠">
      <formula>NOT(ISERROR(SEARCH("⚠",P43)))</formula>
    </cfRule>
  </conditionalFormatting>
  <conditionalFormatting sqref="P5:R31">
    <cfRule type="cellIs" dxfId="11" priority="7" operator="equal">
      <formula>$P$38</formula>
    </cfRule>
    <cfRule type="cellIs" dxfId="10" priority="8" operator="equal">
      <formula>$P$37</formula>
    </cfRule>
    <cfRule type="cellIs" dxfId="9" priority="9" operator="equal">
      <formula>$P$36</formula>
    </cfRule>
    <cfRule type="cellIs" dxfId="8" priority="10" operator="equal">
      <formula>$P$35</formula>
    </cfRule>
  </conditionalFormatting>
  <conditionalFormatting sqref="Q40">
    <cfRule type="cellIs" dxfId="7" priority="11" operator="notEqual">
      <formula>0</formula>
    </cfRule>
    <cfRule type="cellIs" dxfId="6" priority="12" operator="equal">
      <formula>0</formula>
    </cfRule>
  </conditionalFormatting>
  <conditionalFormatting sqref="X5:AA31">
    <cfRule type="containsBlanks" dxfId="5" priority="13">
      <formula>LEN(TRIM(X5))=0</formula>
    </cfRule>
  </conditionalFormatting>
  <conditionalFormatting sqref="AB5:AB31">
    <cfRule type="containsText" dxfId="4" priority="14" operator="containsText" text="CONFLICT">
      <formula>NOT(ISERROR(SEARCH("CONFLICT",AB5)))</formula>
    </cfRule>
  </conditionalFormatting>
  <hyperlinks>
    <hyperlink ref="N43" r:id="rId1" xr:uid="{00000000-0004-0000-0400-000000000000}"/>
    <hyperlink ref="N44" r:id="rId2" xr:uid="{00000000-0004-0000-0400-000001000000}"/>
    <hyperlink ref="N45" r:id="rId3" xr:uid="{00000000-0004-0000-0400-000002000000}"/>
    <hyperlink ref="N46" r:id="rId4" xr:uid="{00000000-0004-0000-0400-000003000000}"/>
  </hyperlinks>
  <pageMargins left="0.7" right="0.7" top="0.75" bottom="0.75" header="0" footer="0"/>
  <pageSetup orientation="landscape"/>
  <legacyDrawing r:id="rId5"/>
  <extLst>
    <ext xmlns:x14="http://schemas.microsoft.com/office/spreadsheetml/2009/9/main" uri="{CCE6A557-97BC-4b89-ADB6-D9C93CAAB3DF}">
      <x14:dataValidations xmlns:xm="http://schemas.microsoft.com/office/excel/2006/main" count="3">
        <x14:dataValidation type="list" errorStyle="information" allowBlank="1" showInputMessage="1" xr:uid="{DD03526C-37BA-4194-BF0F-10552545FF97}">
          <x14:formula1>
            <xm:f>'Medical Staff Master'!$B$6:$B$9</xm:f>
          </x14:formula1>
          <xm:sqref>AA5:AA31</xm:sqref>
        </x14:dataValidation>
        <x14:dataValidation type="list" errorStyle="information" allowBlank="1" showInputMessage="1" xr:uid="{F801B4FF-FB9F-4463-998C-101E2F38F94B}">
          <x14:formula1>
            <xm:f>'Referees Master'!$T$4:$T$8</xm:f>
          </x14:formula1>
          <xm:sqref>P5:P31</xm:sqref>
        </x14:dataValidation>
        <x14:dataValidation type="list" errorStyle="information" allowBlank="1" showInputMessage="1" xr:uid="{0C007DEF-8F5C-44D9-9C40-B1134367AD09}">
          <x14:formula1>
            <xm:f>'Volunteer Master List'!$D$4:$D$54</xm:f>
          </x14:formula1>
          <xm:sqref>X5:Z31</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C399F-E369-4944-9FAF-B47B0D40D1D4}">
  <sheetPr>
    <tabColor rgb="FFA9D18E"/>
  </sheetPr>
  <dimension ref="A1:M29"/>
  <sheetViews>
    <sheetView workbookViewId="0">
      <selection activeCell="D7" sqref="D7"/>
    </sheetView>
  </sheetViews>
  <sheetFormatPr defaultRowHeight="14.4"/>
  <cols>
    <col min="1" max="1" width="44.5546875" customWidth="1"/>
    <col min="3" max="3" width="9.6640625" customWidth="1"/>
    <col min="4" max="4" width="13.6640625" customWidth="1"/>
    <col min="5" max="5" width="15.6640625" customWidth="1"/>
    <col min="6" max="6" width="11.33203125" customWidth="1"/>
    <col min="8" max="8" width="19.6640625" customWidth="1"/>
    <col min="11" max="11" width="26.33203125" customWidth="1"/>
  </cols>
  <sheetData>
    <row r="1" spans="1:13" ht="18">
      <c r="A1" s="307" t="s">
        <v>888</v>
      </c>
    </row>
    <row r="2" spans="1:13">
      <c r="A2" s="308" t="s">
        <v>889</v>
      </c>
      <c r="K2" s="579" t="s">
        <v>890</v>
      </c>
    </row>
    <row r="4" spans="1:13">
      <c r="A4" s="309" t="s">
        <v>891</v>
      </c>
      <c r="H4" s="312" t="s">
        <v>892</v>
      </c>
      <c r="K4" s="313" t="s">
        <v>893</v>
      </c>
    </row>
    <row r="5" spans="1:13">
      <c r="A5" s="238" t="s">
        <v>894</v>
      </c>
      <c r="B5" s="238" t="s">
        <v>895</v>
      </c>
      <c r="C5" s="238" t="s">
        <v>896</v>
      </c>
      <c r="D5" s="238" t="s">
        <v>897</v>
      </c>
      <c r="E5" s="238" t="s">
        <v>898</v>
      </c>
      <c r="F5" s="238" t="s">
        <v>459</v>
      </c>
      <c r="H5" s="238" t="s">
        <v>444</v>
      </c>
      <c r="I5" s="238" t="s">
        <v>899</v>
      </c>
      <c r="K5" s="314" t="s">
        <v>900</v>
      </c>
    </row>
    <row r="6" spans="1:13">
      <c r="A6" s="322" cm="1">
        <f t="array" ref="A6">IFERROR(INDEX(_xlfn._xlws.FILTER('Teams Master'!$C$2:$C$14,'Teams Master'!$D$2:$D$14="Men"),ROW()-5),"")</f>
      </c>
      <c r="B6" s="194">
        <f ca="1">IF($A6="","",RAND())</f>
      </c>
      <c r="C6" s="194">
        <f>IF($A6="","",IF(OR($A6="HAR",$A6="HAR2"),1,0))</f>
      </c>
      <c r="D6" s="194" cm="1">
        <f t="array" aca="1" ref="D6" ca="1">IF($A6="","",SUMPRODUCT(($C$6:$C$13=$C6)*($B$6:$B$13&gt;$B6)*($A$6:$A$13&lt;&gt;""))+1)</f>
      </c>
      <c r="E6" s="194">
        <f ca="1">IF($A6="","",IF($C6=1,IF($D6=1,"A","B"),IF($D6&lt;=('Format Engine'!$H$9/2-1),"A","B")))</f>
      </c>
      <c r="F6" s="194" cm="1">
        <f t="array" aca="1" ref="F6" ca="1">IF($A6="","",$E6&amp;(SUMPRODUCT(($E$6:$E$13=$E6)*($B$6:$B$13&gt;$B6)*($A$6:$A$13&lt;&gt;""))+1))</f>
      </c>
      <c r="H6" s="322">
        <f>'Teams Master'!C2</f>
      </c>
      <c r="I6" s="340">
        <f ca="1">IFERROR(INDEX($F$6:$F$22,MATCH($H6,$A$6:$A$22,0)),"")</f>
      </c>
      <c r="K6" s="315" t="s">
        <v>901</v>
      </c>
    </row>
    <row r="7" spans="1:13">
      <c r="A7" s="322" cm="1">
        <f t="array" ref="A7">IFERROR(INDEX(_xlfn._xlws.FILTER('Teams Master'!$C$2:$C$14,'Teams Master'!$D$2:$D$14="Men"),ROW()-5),"")</f>
      </c>
      <c r="B7" s="194">
        <f t="shared" ref="B7:B13" ca="1" si="0">IF($A7="","",RAND())</f>
      </c>
      <c r="C7" s="194">
        <f t="shared" ref="C7:C13" si="1">IF($A7="","",IF(OR($A7="HAR",$A7="HAR2"),1,0))</f>
      </c>
      <c r="D7" s="194" cm="1">
        <f t="array" aca="1" ref="D7" ca="1">IF($A7="","",SUMPRODUCT(($C$6:$C$13=$C7)*($B$6:$B$13&gt;$B7)*($A$6:$A$13&lt;&gt;""))+1)</f>
      </c>
      <c r="E7" s="194">
        <f ca="1">IF($A7="","",IF($C7=1,IF($D7=1,"A","B"),IF($D7&lt;=('Format Engine'!$H$9/2-1),"A","B")))</f>
      </c>
      <c r="F7" s="194" cm="1">
        <f t="array" aca="1" ref="F7" ca="1">IF($A7="","",$E7&amp;(SUMPRODUCT(($E$6:$E$13=$E7)*($B$6:$B$13&gt;$B7)*($A$6:$A$13&lt;&gt;""))+1))</f>
      </c>
      <c r="H7" s="322">
        <f>'Teams Master'!C3</f>
      </c>
      <c r="I7" s="340">
        <f t="shared" ref="I7:I18" ca="1" si="2">IFERROR(INDEX($F$6:$F$22,MATCH($H7,$A$6:$A$22,0)),"")</f>
      </c>
      <c r="K7" s="315" t="s">
        <v>902</v>
      </c>
    </row>
    <row r="8" spans="1:13">
      <c r="A8" s="322" cm="1">
        <f t="array" ref="A8">IFERROR(INDEX(_xlfn._xlws.FILTER('Teams Master'!$C$2:$C$14,'Teams Master'!$D$2:$D$14="Men"),ROW()-5),"")</f>
      </c>
      <c r="B8" s="194">
        <f t="shared" ca="1" si="0"/>
      </c>
      <c r="C8" s="194">
        <f t="shared" si="1"/>
      </c>
      <c r="D8" s="194" cm="1">
        <f t="array" ref="D8">IF($A8="","",SUMPRODUCT(($C$6:$C$13=$C8)*($B$6:$B$13&gt;$B8)*($A$6:$A$13&lt;&gt;""))+1)</f>
      </c>
      <c r="E8" s="194">
        <f>IF($A8="","",IF($C8=1,IF($D8=1,"A","B"),IF($D8&lt;=('Format Engine'!$H$9/2-1),"A","B")))</f>
      </c>
      <c r="F8" s="194" cm="1">
        <f t="array" ref="F8">IF($A8="","",$E8&amp;(SUMPRODUCT(($E$6:$E$13=$E8)*($B$6:$B$13&gt;$B8)*($A$6:$A$13&lt;&gt;""))+1))</f>
      </c>
      <c r="H8" s="322">
        <f>'Teams Master'!C4</f>
      </c>
      <c r="I8" s="340">
        <f t="shared" ca="1" si="2"/>
      </c>
      <c r="K8" s="315" t="s">
        <v>903</v>
      </c>
    </row>
    <row r="9" spans="1:13">
      <c r="A9" s="322" cm="1">
        <f t="array" ref="A9">IFERROR(INDEX(_xlfn._xlws.FILTER('Teams Master'!$C$2:$C$14,'Teams Master'!$D$2:$D$14="Men"),ROW()-5),"")</f>
      </c>
      <c r="B9" s="194">
        <f t="shared" ca="1" si="0"/>
      </c>
      <c r="C9" s="194">
        <f t="shared" si="1"/>
      </c>
      <c r="D9" s="194" cm="1">
        <f t="array" ref="D9">IF($A9="","",SUMPRODUCT(($C$6:$C$13=$C9)*($B$6:$B$13&gt;$B9)*($A$6:$A$13&lt;&gt;""))+1)</f>
      </c>
      <c r="E9" s="194">
        <f>IF($A9="","",IF($C9=1,IF($D9=1,"A","B"),IF($D9&lt;=('Format Engine'!$H$9/2-1),"A","B")))</f>
      </c>
      <c r="F9" s="194" cm="1">
        <f t="array" ref="F9">IF($A9="","",$E9&amp;(SUMPRODUCT(($E$6:$E$13=$E9)*($B$6:$B$13&gt;$B9)*($A$6:$A$13&lt;&gt;""))+1))</f>
      </c>
      <c r="H9" s="322">
        <f>'Teams Master'!C5</f>
      </c>
      <c r="I9" s="340">
        <f t="shared" si="2"/>
      </c>
    </row>
    <row r="10" spans="1:13">
      <c r="A10" s="322" cm="1">
        <f t="array" ref="A10">IFERROR(INDEX(_xlfn._xlws.FILTER('Teams Master'!$C$2:$C$14,'Teams Master'!$D$2:$D$14="Men"),ROW()-5),"")</f>
      </c>
      <c r="B10" s="194">
        <f t="shared" ca="1" si="0"/>
      </c>
      <c r="C10" s="194">
        <f t="shared" si="1"/>
      </c>
      <c r="D10" s="194" cm="1">
        <f t="array" ref="D10">IF($A10="","",SUMPRODUCT(($C$6:$C$13=$C10)*($B$6:$B$13&gt;$B10)*($A$6:$A$13&lt;&gt;""))+1)</f>
      </c>
      <c r="E10" s="194">
        <f>IF($A10="","",IF($C10=1,IF($D10=1,"A","B"),IF($D10&lt;=('Format Engine'!$H$9/2-1),"A","B")))</f>
      </c>
      <c r="F10" s="194" cm="1">
        <f t="array" ref="F10">IF($A10="","",$E10&amp;(SUMPRODUCT(($E$6:$E$13=$E10)*($B$6:$B$13&gt;$B10)*($A$6:$A$13&lt;&gt;""))+1))</f>
      </c>
      <c r="H10" s="322">
        <f>'Teams Master'!C6</f>
      </c>
      <c r="I10" s="340">
        <f t="shared" si="2"/>
      </c>
      <c r="K10" s="316" t="s">
        <v>904</v>
      </c>
    </row>
    <row r="11" spans="1:13">
      <c r="A11" s="322" cm="1">
        <f t="array" ref="A11">IFERROR(INDEX(_xlfn._xlws.FILTER('Teams Master'!$C$2:$C$14,'Teams Master'!$D$2:$D$14="Men"),ROW()-5),"")</f>
      </c>
      <c r="B11" s="194">
        <f t="shared" ca="1" si="0"/>
      </c>
      <c r="C11" s="194">
        <f t="shared" si="1"/>
      </c>
      <c r="D11" s="194" cm="1">
        <f t="array" ref="D11">IF($A11="","",SUMPRODUCT(($C$6:$C$13=$C11)*($B$6:$B$13&gt;$B11)*($A$6:$A$13&lt;&gt;""))+1)</f>
      </c>
      <c r="E11" s="194">
        <f>IF($A11="","",IF($C11=1,IF($D11=1,"A","B"),IF($D11&lt;=('Format Engine'!$H$9/2-1),"A","B")))</f>
      </c>
      <c r="F11" s="194" cm="1">
        <f t="array" ref="F11">IF($A11="","",$E11&amp;(SUMPRODUCT(($E$6:$E$13=$E11)*($B$6:$B$13&gt;$B11)*($A$6:$A$13&lt;&gt;""))+1))</f>
      </c>
      <c r="H11" s="322">
        <f>'Teams Master'!C7</f>
      </c>
      <c r="I11" s="340">
        <f t="shared" si="2"/>
      </c>
      <c r="K11" s="315" t="s">
        <v>905</v>
      </c>
      <c r="L11" s="352">
        <f ca="1">COUNTIF($E$6:$E$13,"A")</f>
      </c>
      <c r="M11" s="352">
        <f ca="1">IF(L11='Format Engine'!$H$9/2,"OK","CHECK")</f>
      </c>
    </row>
    <row r="12" spans="1:13">
      <c r="A12" s="322" cm="1">
        <f t="array" ref="A12">IFERROR(INDEX(_xlfn._xlws.FILTER('Teams Master'!$C$2:$C$14,'Teams Master'!$D$2:$D$14="Men"),ROW()-5),"")</f>
      </c>
      <c r="B12" s="194">
        <f t="shared" ca="1" si="0"/>
      </c>
      <c r="C12" s="194">
        <f t="shared" si="1"/>
      </c>
      <c r="D12" s="194" cm="1">
        <f t="array" ref="D12">IF($A12="","",SUMPRODUCT(($C$6:$C$13=$C12)*($B$6:$B$13&gt;$B12)*($A$6:$A$13&lt;&gt;""))+1)</f>
      </c>
      <c r="E12" s="194">
        <f>IF($A12="","",IF($C12=1,IF($D12=1,"A","B"),IF($D12&lt;=('Format Engine'!$H$9/2-1),"A","B")))</f>
      </c>
      <c r="F12" s="194" cm="1">
        <f t="array" ref="F12">IF($A12="","",$E12&amp;(SUMPRODUCT(($E$6:$E$13=$E12)*($B$6:$B$13&gt;$B12)*($A$6:$A$13&lt;&gt;""))+1))</f>
      </c>
      <c r="H12" s="322">
        <f>'Teams Master'!C8</f>
      </c>
      <c r="I12" s="340">
        <f t="shared" si="2"/>
      </c>
      <c r="K12" s="315" t="s">
        <v>906</v>
      </c>
      <c r="L12" s="352">
        <f ca="1">COUNTIF($E$6:$E$13,"B")</f>
      </c>
      <c r="M12" s="352">
        <f ca="1">IF(L12='Format Engine'!$H$9/2,"OK","CHECK")</f>
      </c>
    </row>
    <row r="13" spans="1:13">
      <c r="A13" s="322" cm="1">
        <f t="array" ref="A13">IFERROR(INDEX(_xlfn._xlws.FILTER('Teams Master'!$C$2:$C$14,'Teams Master'!$D$2:$D$14="Men"),ROW()-5),"")</f>
      </c>
      <c r="B13" s="194">
        <f t="shared" ca="1" si="0"/>
      </c>
      <c r="C13" s="194">
        <f t="shared" si="1"/>
      </c>
      <c r="D13" s="194" cm="1">
        <f t="array" ref="D13">IF($A13="","",SUMPRODUCT(($C$6:$C$13=$C13)*($B$6:$B$13&gt;$B13)*($A$6:$A$13&lt;&gt;""))+1)</f>
      </c>
      <c r="E13" s="194">
        <f>IF($A13="","",IF($C13=1,IF($D13=1,"A","B"),IF($D13&lt;=('Format Engine'!$H$9/2-1),"A","B")))</f>
      </c>
      <c r="F13" s="194" cm="1">
        <f t="array" ref="F13">IF($A13="","",$E13&amp;(SUMPRODUCT(($E$6:$E$13=$E13)*($B$6:$B$13&gt;$B13)*($A$6:$A$13&lt;&gt;""))+1))</f>
      </c>
      <c r="H13" s="322">
        <f>'Teams Master'!C9</f>
      </c>
      <c r="I13" s="340">
        <f t="shared" si="2"/>
      </c>
      <c r="K13" s="315" t="s">
        <v>907</v>
      </c>
      <c r="L13" s="352">
        <f ca="1">IF(COUNTIFS($C$6:$C$13,1,$E$6:$E$13,"A")=1,"YES","NO: reroll")</f>
      </c>
      <c r="M13" s="352">
        <f ca="1">IF(L13="YES","OK","CHECK")</f>
      </c>
    </row>
    <row r="14" spans="1:13">
      <c r="H14" s="322">
        <f>'Teams Master'!C10</f>
      </c>
      <c r="I14" s="340">
        <f t="shared" si="2"/>
      </c>
      <c r="K14" s="315" t="s">
        <v>908</v>
      </c>
      <c r="L14" s="352" cm="1">
        <f t="array" aca="1" ref="L14" ca="1">SUMPRODUCT(1/COUNTIF(I6:I18,I6:I18))</f>
      </c>
      <c r="M14" s="352">
        <f ca="1">IF(L14='Format Engine'!$H$8,"OK","CHECK")</f>
      </c>
    </row>
    <row r="15" spans="1:13">
      <c r="A15" s="311" t="s">
        <v>909</v>
      </c>
      <c r="H15" s="322">
        <f>'Teams Master'!C11</f>
      </c>
      <c r="I15" s="340">
        <f t="shared" si="2"/>
      </c>
      <c r="K15" s="352" t="s">
        <v>910</v>
      </c>
      <c r="L15" s="194">
        <f>IF('Format Engine'!$H$12=1,IF(COUNTIF($E$17:$E$22,"W")='Format Engine'!$H$10,"YES","NO"),IF(AND(COUNTIF($E$17:$E$22,"WA")='Format Engine'!$H$10/2,COUNTIF($E$17:$E$22,"WB")='Format Engine'!$H$10/2),"YES","NO"))</f>
      </c>
      <c r="M15" s="194">
        <f>IF(L15="YES","OK","CHECK")</f>
      </c>
    </row>
    <row r="16" spans="1:13">
      <c r="A16" s="310" t="s">
        <v>894</v>
      </c>
      <c r="B16" s="310" t="s">
        <v>895</v>
      </c>
      <c r="F16" s="310" t="s">
        <v>459</v>
      </c>
      <c r="H16" s="322">
        <f>'Teams Master'!C12</f>
      </c>
      <c r="I16" s="340">
        <f t="shared" si="2"/>
      </c>
      <c r="K16" s="580" t="s">
        <v>911</v>
      </c>
    </row>
    <row r="17" spans="1:11">
      <c r="A17" s="322" cm="1">
        <f t="array" ref="A17">IFERROR(INDEX(_xlfn._xlws.FILTER('Teams Master'!$C$2:$C$14,'Teams Master'!$D$2:$D$14="Women"),ROW()-16),"")</f>
      </c>
      <c r="B17" s="194">
        <f ca="1">IF($A17="","",RAND())</f>
      </c>
      <c r="D17" s="194" cm="1">
        <f t="array" aca="1" ref="D17" ca="1">IF($A17="","",SUMPRODUCT(($B$17:$B$22&gt;$B17)*($A$17:$A$22&lt;&gt;""))+1)</f>
      </c>
      <c r="E17" s="194">
        <f>IF($A17="","",IF('Format Engine'!$H$12=1,"W",IF($D17&lt;=('Format Engine'!$H$10/2),"WA","WB")))</f>
      </c>
      <c r="F17" s="194" cm="1">
        <f t="array" aca="1" ref="F17" ca="1">IF($A17="","",IF($E17="W","W"&amp;$D17,$E17&amp;(SUMPRODUCT(($E$17:$E$22=$E17)*($B$17:$B$22&gt;$B17)*($A$17:$A$22&lt;&gt;""))+1)))</f>
      </c>
      <c r="H17" s="322">
        <f>'Teams Master'!C13</f>
      </c>
      <c r="I17" s="340">
        <f t="shared" si="2"/>
      </c>
      <c r="K17" s="315" t="s">
        <v>421</v>
      </c>
    </row>
    <row r="18" spans="1:11">
      <c r="A18" s="322" cm="1">
        <f t="array" ref="A18">IFERROR(INDEX(_xlfn._xlws.FILTER('Teams Master'!$C$2:$C$14,'Teams Master'!$D$2:$D$14="Women"),ROW()-16),"")</f>
      </c>
      <c r="B18" s="194">
        <f t="shared" ref="B18:B22" ca="1" si="3">IF($A18="","",RAND())</f>
      </c>
      <c r="D18" s="194" cm="1">
        <f t="array" ref="D18">IF($A18="","",SUMPRODUCT(($B$17:$B$22&gt;$B18)*($A$17:$A$22&lt;&gt;""))+1)</f>
      </c>
      <c r="E18" s="194">
        <f>IF($A18="","",IF('Format Engine'!$H$12=1,"W",IF($D18&lt;=('Format Engine'!$H$10/2),"WA","WB")))</f>
      </c>
      <c r="F18" s="194" cm="1">
        <f t="array" ref="F18">IF($A18="","",IF($E18="W","W"&amp;$D18,$E18&amp;(SUMPRODUCT(($E$17:$E$22=$E18)*($B$17:$B$22&gt;$B18)*($A$17:$A$22&lt;&gt;""))+1)))</f>
      </c>
      <c r="H18" s="322">
        <f>'Teams Master'!C14</f>
      </c>
      <c r="I18" s="340">
        <f t="shared" si="2"/>
      </c>
      <c r="K18" s="315" t="s">
        <v>422</v>
      </c>
    </row>
    <row r="19" spans="1:11">
      <c r="A19" s="322" cm="1">
        <f t="array" ref="A19">IFERROR(INDEX(_xlfn._xlws.FILTER('Teams Master'!$C$2:$C$14,'Teams Master'!$D$2:$D$14="Women"),ROW()-16),"")</f>
      </c>
      <c r="B19" s="194">
        <f t="shared" ca="1" si="3"/>
      </c>
      <c r="D19" s="194" cm="1">
        <f t="array" ref="D19">IF($A19="","",SUMPRODUCT(($B$17:$B$22&gt;$B19)*($A$17:$A$22&lt;&gt;""))+1)</f>
      </c>
      <c r="E19" s="194">
        <f>IF($A19="","",IF('Format Engine'!$H$12=1,"W",IF($D19&lt;=('Format Engine'!$H$10/2),"WA","WB")))</f>
      </c>
      <c r="F19" s="194" cm="1">
        <f t="array" ref="F19">IF($A19="","",IF($E19="W","W"&amp;$D19,$E19&amp;(SUMPRODUCT(($E$17:$E$22=$E19)*($B$17:$B$22&gt;$B19)*($A$17:$A$22&lt;&gt;""))+1)))</f>
      </c>
      <c r="K19" s="315" t="s">
        <v>428</v>
      </c>
    </row>
    <row r="20" spans="1:11">
      <c r="A20" s="322" cm="1">
        <f t="array" ref="A20">IFERROR(INDEX(_xlfn._xlws.FILTER('Teams Master'!$C$2:$C$14,'Teams Master'!$D$2:$D$14="Women"),ROW()-16),"")</f>
      </c>
      <c r="B20" s="194">
        <f t="shared" ca="1" si="3"/>
      </c>
      <c r="D20" s="194" cm="1">
        <f t="array" ref="D20">IF($A20="","",SUMPRODUCT(($B$17:$B$22&gt;$B20)*($A$17:$A$22&lt;&gt;""))+1)</f>
      </c>
      <c r="E20" s="194">
        <f>IF($A20="","",IF('Format Engine'!$H$12=1,"W",IF($D20&lt;=('Format Engine'!$H$10/2),"WA","WB")))</f>
      </c>
      <c r="F20" s="194" cm="1">
        <f t="array" ref="F20">IF($A20="","",IF($E20="W","W"&amp;$D20,$E20&amp;(SUMPRODUCT(($E$17:$E$22=$E20)*($B$17:$B$22&gt;$B20)*($A$17:$A$22&lt;&gt;""))+1)))</f>
      </c>
      <c r="K20" s="315" t="s">
        <v>429</v>
      </c>
    </row>
    <row r="21" spans="1:11">
      <c r="A21" s="322" cm="1">
        <f t="array" ref="A21">IFERROR(INDEX(_xlfn._xlws.FILTER('Teams Master'!$C$2:$C$14,'Teams Master'!$D$2:$D$14="Women"),ROW()-16),"")</f>
      </c>
      <c r="B21" s="194">
        <f t="shared" ca="1" si="3"/>
      </c>
      <c r="D21" s="194" cm="1">
        <f t="array" ref="D21">IF($A21="","",SUMPRODUCT(($B$17:$B$22&gt;$B21)*($A$17:$A$22&lt;&gt;""))+1)</f>
      </c>
      <c r="E21" s="194">
        <f>IF($A21="","",IF('Format Engine'!$H$12=1,"W",IF($D21&lt;=('Format Engine'!$H$10/2),"WA","WB")))</f>
      </c>
      <c r="F21" s="194" cm="1">
        <f t="array" ref="F21">IF($A21="","",IF($E21="W","W"&amp;$D21,$E21&amp;(SUMPRODUCT(($E$17:$E$22=$E21)*($B$17:$B$22&gt;$B21)*($A$17:$A$22&lt;&gt;""))+1)))</f>
      </c>
      <c r="K21" s="315" t="s">
        <v>424</v>
      </c>
    </row>
    <row r="22" spans="1:11">
      <c r="A22" s="322" cm="1">
        <f t="array" ref="A22">IFERROR(INDEX(_xlfn._xlws.FILTER('Teams Master'!$C$2:$C$14,'Teams Master'!$D$2:$D$14="Women"),ROW()-16),"")</f>
      </c>
      <c r="B22" s="194">
        <f t="shared" ca="1" si="3"/>
      </c>
      <c r="D22" s="194" cm="1">
        <f t="array" ref="D22">IF($A22="","",SUMPRODUCT(($B$17:$B$22&gt;$B22)*($A$17:$A$22&lt;&gt;""))+1)</f>
      </c>
      <c r="E22" s="194">
        <f>IF($A22="","",IF('Format Engine'!$H$12=1,"W",IF($D22&lt;=('Format Engine'!$H$10/2),"WA","WB")))</f>
      </c>
      <c r="F22" s="194" cm="1">
        <f t="array" ref="F22">IF($A22="","",IF($E22="W","W"&amp;$D22,$E22&amp;(SUMPRODUCT(($E$17:$E$22=$E22)*($B$17:$B$22&gt;$B22)*($A$17:$A$22&lt;&gt;""))+1)))</f>
      </c>
      <c r="K22" s="315" t="s">
        <v>425</v>
      </c>
    </row>
    <row r="23" spans="1:11">
      <c r="K23" s="315" t="s">
        <v>430</v>
      </c>
    </row>
    <row r="24" spans="1:11">
      <c r="K24" s="315" t="s">
        <v>431</v>
      </c>
    </row>
    <row r="25" spans="1:11">
      <c r="K25" s="315" t="s">
        <v>417</v>
      </c>
    </row>
    <row r="26" spans="1:11">
      <c r="K26" s="315" t="s">
        <v>418</v>
      </c>
    </row>
    <row r="27" spans="1:11">
      <c r="K27" s="315" t="s">
        <v>426</v>
      </c>
    </row>
    <row r="28" spans="1:11">
      <c r="K28" s="315" t="s">
        <v>427</v>
      </c>
    </row>
    <row r="29" spans="1:11">
      <c r="K29" s="315" t="s">
        <v>432</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900FE-CB68-4F28-A522-28EAB6706C7C}">
  <sheetPr>
    <tabColor rgb="FFA9D18E"/>
    <pageSetUpPr fitToPage="1"/>
  </sheetPr>
  <dimension ref="A1:K32"/>
  <sheetViews>
    <sheetView topLeftCell="A2" workbookViewId="0">
      <selection activeCell="I4" sqref="I4"/>
    </sheetView>
  </sheetViews>
  <sheetFormatPr defaultRowHeight="14.4"/>
  <cols>
    <col min="1" max="1" width="11.109375" style="20" customWidth="1"/>
    <col min="2" max="2" width="9.33203125" style="20" customWidth="1"/>
    <col min="3" max="4" width="13" style="20" customWidth="1"/>
    <col min="5" max="5" width="6.44140625" style="20" customWidth="1"/>
    <col min="6" max="6" width="8.33203125" customWidth="1"/>
    <col min="7" max="7" width="24.109375" customWidth="1"/>
    <col min="8" max="8" width="24.109375" style="20" customWidth="1"/>
    <col min="9" max="9" width="10.33203125" style="20" customWidth="1"/>
    <col min="10" max="11" width="21.33203125" customWidth="1"/>
  </cols>
  <sheetData>
    <row r="1" spans="1:11" ht="40.200000000000003" customHeight="1">
      <c r="A1" s="824" t="s">
        <v>912</v>
      </c>
      <c r="B1" s="825"/>
      <c r="C1" s="825"/>
      <c r="D1" s="825"/>
      <c r="E1" s="825"/>
      <c r="F1" s="825"/>
      <c r="G1" s="825"/>
      <c r="H1" s="825"/>
      <c r="I1" s="825"/>
      <c r="J1" s="825"/>
      <c r="K1" s="825"/>
    </row>
    <row r="3" spans="1:11" ht="28.2" customHeight="1">
      <c r="A3" s="163" t="s">
        <v>802</v>
      </c>
      <c r="B3" s="164" t="s">
        <v>803</v>
      </c>
      <c r="C3" s="164" t="s">
        <v>341</v>
      </c>
      <c r="D3" s="164" t="s">
        <v>342</v>
      </c>
      <c r="E3" s="164" t="s">
        <v>410</v>
      </c>
      <c r="F3" s="164" t="s">
        <v>446</v>
      </c>
      <c r="G3" s="164" t="s">
        <v>913</v>
      </c>
      <c r="H3" s="164" t="s">
        <v>914</v>
      </c>
      <c r="I3" s="164" t="s">
        <v>915</v>
      </c>
      <c r="J3" s="164" t="s">
        <v>822</v>
      </c>
      <c r="K3" s="165" t="s">
        <v>823</v>
      </c>
    </row>
    <row r="4" spans="1:11" ht="22.2" customHeight="1">
      <c r="A4" s="353">
        <f>'Games Schedule'!B5</f>
      </c>
      <c r="B4" s="354">
        <f>'Games Schedule'!C5</f>
      </c>
      <c r="C4" s="355">
        <f>'Games Schedule'!D5</f>
      </c>
      <c r="D4" s="355">
        <f>'Games Schedule'!E5</f>
      </c>
      <c r="E4" s="354">
        <f>'Games Schedule'!I5</f>
      </c>
      <c r="F4" s="354">
        <f>'Games Schedule'!J5</f>
      </c>
      <c r="G4" s="356">
        <f>'Games Schedule'!N5</f>
      </c>
      <c r="H4" s="356">
        <f>'Games Schedule'!O5</f>
      </c>
      <c r="I4" s="354">
        <f>IF(OR('Games Schedule'!S5="",'Games Schedule'!T5=""),"",TEXT('Games Schedule'!S5,"0")&amp;":"&amp;TEXT('Games Schedule'!T5,"0"))</f>
      </c>
      <c r="J4" s="356">
        <f>'Games Schedule'!X5</f>
      </c>
      <c r="K4" s="357">
        <f>'Games Schedule'!Y5</f>
      </c>
    </row>
    <row r="5" spans="1:11" ht="22.2" customHeight="1">
      <c r="A5" s="358">
        <f>'Games Schedule'!B6</f>
      </c>
      <c r="B5" s="359">
        <f>'Games Schedule'!C6</f>
      </c>
      <c r="C5" s="360">
        <f>'Games Schedule'!D6</f>
      </c>
      <c r="D5" s="360">
        <f>'Games Schedule'!E6</f>
      </c>
      <c r="E5" s="359">
        <f>'Games Schedule'!I6</f>
      </c>
      <c r="F5" s="359">
        <f>'Games Schedule'!J6</f>
      </c>
      <c r="G5" s="361">
        <f>'Games Schedule'!N6</f>
      </c>
      <c r="H5" s="361">
        <f>'Games Schedule'!O6</f>
      </c>
      <c r="I5" s="359">
        <f>IF(OR('Games Schedule'!S6="",'Games Schedule'!T6=""),"",TEXT('Games Schedule'!S6,"0")&amp;":"&amp;TEXT('Games Schedule'!T6,"0"))</f>
      </c>
      <c r="J5" s="361">
        <f>'Games Schedule'!X6</f>
      </c>
      <c r="K5" s="362">
        <f>'Games Schedule'!Y6</f>
      </c>
    </row>
    <row r="6" spans="1:11" ht="22.2" customHeight="1">
      <c r="A6" s="353">
        <f>'Games Schedule'!B7</f>
      </c>
      <c r="B6" s="354">
        <f>'Games Schedule'!C7</f>
      </c>
      <c r="C6" s="355">
        <f>'Games Schedule'!D7</f>
      </c>
      <c r="D6" s="355">
        <f>'Games Schedule'!E7</f>
      </c>
      <c r="E6" s="354">
        <f>'Games Schedule'!I7</f>
      </c>
      <c r="F6" s="354">
        <f>'Games Schedule'!J7</f>
      </c>
      <c r="G6" s="356">
        <f>'Games Schedule'!N7</f>
      </c>
      <c r="H6" s="356">
        <f>'Games Schedule'!O7</f>
      </c>
      <c r="I6" s="354">
        <f>IF(OR('Games Schedule'!S7="",'Games Schedule'!T7=""),"",TEXT('Games Schedule'!S7,"0")&amp;":"&amp;TEXT('Games Schedule'!T7,"0"))</f>
      </c>
      <c r="J6" s="356">
        <f>'Games Schedule'!X7</f>
      </c>
      <c r="K6" s="357">
        <f>'Games Schedule'!Y7</f>
      </c>
    </row>
    <row r="7" spans="1:11" ht="22.2" customHeight="1">
      <c r="A7" s="358">
        <f>'Games Schedule'!B8</f>
      </c>
      <c r="B7" s="359">
        <f>'Games Schedule'!C8</f>
      </c>
      <c r="C7" s="360">
        <f>'Games Schedule'!D8</f>
      </c>
      <c r="D7" s="360">
        <f>'Games Schedule'!E8</f>
      </c>
      <c r="E7" s="359">
        <f>'Games Schedule'!I8</f>
      </c>
      <c r="F7" s="359">
        <f>'Games Schedule'!J8</f>
      </c>
      <c r="G7" s="361">
        <f>'Games Schedule'!N8</f>
      </c>
      <c r="H7" s="361">
        <f>'Games Schedule'!O8</f>
      </c>
      <c r="I7" s="359">
        <f>IF(OR('Games Schedule'!S8="",'Games Schedule'!T8=""),"",TEXT('Games Schedule'!S8,"0")&amp;":"&amp;TEXT('Games Schedule'!T8,"0"))</f>
      </c>
      <c r="J7" s="361">
        <f>'Games Schedule'!X8</f>
      </c>
      <c r="K7" s="362">
        <f>'Games Schedule'!Y8</f>
      </c>
    </row>
    <row r="8" spans="1:11" ht="22.2" customHeight="1">
      <c r="A8" s="353">
        <f>'Games Schedule'!B9</f>
      </c>
      <c r="B8" s="354">
        <f>'Games Schedule'!C9</f>
      </c>
      <c r="C8" s="355">
        <f>'Games Schedule'!D9</f>
      </c>
      <c r="D8" s="355">
        <f>'Games Schedule'!E9</f>
      </c>
      <c r="E8" s="354">
        <f>'Games Schedule'!I9</f>
      </c>
      <c r="F8" s="354">
        <f>'Games Schedule'!J9</f>
      </c>
      <c r="G8" s="356">
        <f>'Games Schedule'!N9</f>
      </c>
      <c r="H8" s="356">
        <f>'Games Schedule'!O9</f>
      </c>
      <c r="I8" s="354">
        <f>IF(OR('Games Schedule'!S9="",'Games Schedule'!T9=""),"",TEXT('Games Schedule'!S9,"0")&amp;":"&amp;TEXT('Games Schedule'!T9,"0"))</f>
      </c>
      <c r="J8" s="356">
        <f>'Games Schedule'!X9</f>
      </c>
      <c r="K8" s="357">
        <f>'Games Schedule'!Y9</f>
      </c>
    </row>
    <row r="9" spans="1:11" ht="22.2" customHeight="1">
      <c r="A9" s="358">
        <f>'Games Schedule'!B10</f>
      </c>
      <c r="B9" s="359">
        <f>'Games Schedule'!C10</f>
      </c>
      <c r="C9" s="360">
        <f>'Games Schedule'!D10</f>
      </c>
      <c r="D9" s="360">
        <f>'Games Schedule'!E10</f>
      </c>
      <c r="E9" s="359">
        <f>'Games Schedule'!I10</f>
      </c>
      <c r="F9" s="359">
        <f>'Games Schedule'!J10</f>
      </c>
      <c r="G9" s="361">
        <f>'Games Schedule'!N10</f>
      </c>
      <c r="H9" s="361">
        <f>'Games Schedule'!O10</f>
      </c>
      <c r="I9" s="359">
        <f>IF(OR('Games Schedule'!S10="",'Games Schedule'!T10=""),"",TEXT('Games Schedule'!S10,"0")&amp;":"&amp;TEXT('Games Schedule'!T10,"0"))</f>
      </c>
      <c r="J9" s="361">
        <f>'Games Schedule'!X10</f>
      </c>
      <c r="K9" s="362">
        <f>'Games Schedule'!Y10</f>
      </c>
    </row>
    <row r="10" spans="1:11" ht="22.2" customHeight="1">
      <c r="A10" s="353">
        <f>'Games Schedule'!B11</f>
      </c>
      <c r="B10" s="354">
        <f>'Games Schedule'!C11</f>
      </c>
      <c r="C10" s="355">
        <f>'Games Schedule'!D11</f>
      </c>
      <c r="D10" s="355">
        <f>'Games Schedule'!E11</f>
      </c>
      <c r="E10" s="354">
        <f>'Games Schedule'!I11</f>
      </c>
      <c r="F10" s="354">
        <f>'Games Schedule'!J11</f>
      </c>
      <c r="G10" s="356">
        <f>'Games Schedule'!N11</f>
      </c>
      <c r="H10" s="356">
        <f>'Games Schedule'!O11</f>
      </c>
      <c r="I10" s="354">
        <f>IF(OR('Games Schedule'!S11="",'Games Schedule'!T11=""),"",TEXT('Games Schedule'!S11,"0")&amp;":"&amp;TEXT('Games Schedule'!T11,"0"))</f>
      </c>
      <c r="J10" s="356">
        <f>'Games Schedule'!X11</f>
      </c>
      <c r="K10" s="357">
        <f>'Games Schedule'!Y11</f>
      </c>
    </row>
    <row r="11" spans="1:11" ht="22.2" customHeight="1">
      <c r="A11" s="358">
        <f>'Games Schedule'!B12</f>
      </c>
      <c r="B11" s="359">
        <f>'Games Schedule'!C12</f>
      </c>
      <c r="C11" s="360">
        <f>'Games Schedule'!D12</f>
      </c>
      <c r="D11" s="360">
        <f>'Games Schedule'!E12</f>
      </c>
      <c r="E11" s="359">
        <f>'Games Schedule'!I12</f>
      </c>
      <c r="F11" s="359">
        <f>'Games Schedule'!J12</f>
      </c>
      <c r="G11" s="361">
        <f>'Games Schedule'!N12</f>
      </c>
      <c r="H11" s="361">
        <f>'Games Schedule'!O12</f>
      </c>
      <c r="I11" s="359">
        <f>IF(OR('Games Schedule'!S12="",'Games Schedule'!T12=""),"",TEXT('Games Schedule'!S12,"0")&amp;":"&amp;TEXT('Games Schedule'!T12,"0"))</f>
      </c>
      <c r="J11" s="361">
        <f>'Games Schedule'!X12</f>
      </c>
      <c r="K11" s="362">
        <f>'Games Schedule'!Y12</f>
      </c>
    </row>
    <row r="12" spans="1:11" ht="22.2" customHeight="1">
      <c r="A12" s="353">
        <f>'Games Schedule'!B13</f>
      </c>
      <c r="B12" s="354">
        <f>'Games Schedule'!C13</f>
      </c>
      <c r="C12" s="355">
        <f>'Games Schedule'!D13</f>
      </c>
      <c r="D12" s="355">
        <f>'Games Schedule'!E13</f>
      </c>
      <c r="E12" s="354">
        <f>'Games Schedule'!I13</f>
      </c>
      <c r="F12" s="354">
        <f>'Games Schedule'!J13</f>
      </c>
      <c r="G12" s="356">
        <f>'Games Schedule'!N13</f>
      </c>
      <c r="H12" s="356">
        <f>'Games Schedule'!O13</f>
      </c>
      <c r="I12" s="354">
        <f>IF(OR('Games Schedule'!S13="",'Games Schedule'!T13=""),"",TEXT('Games Schedule'!S13,"0")&amp;":"&amp;TEXT('Games Schedule'!T13,"0"))</f>
      </c>
      <c r="J12" s="356">
        <f>'Games Schedule'!X13</f>
      </c>
      <c r="K12" s="357">
        <f>'Games Schedule'!Y13</f>
      </c>
    </row>
    <row r="13" spans="1:11" ht="22.2" customHeight="1">
      <c r="A13" s="358">
        <f>'Games Schedule'!B14</f>
      </c>
      <c r="B13" s="359">
        <f>'Games Schedule'!C14</f>
      </c>
      <c r="C13" s="360">
        <f>'Games Schedule'!D14</f>
      </c>
      <c r="D13" s="360">
        <f>'Games Schedule'!E14</f>
      </c>
      <c r="E13" s="359">
        <f>'Games Schedule'!I14</f>
      </c>
      <c r="F13" s="359">
        <f>'Games Schedule'!J14</f>
      </c>
      <c r="G13" s="361">
        <f>'Games Schedule'!N14</f>
      </c>
      <c r="H13" s="361">
        <f>'Games Schedule'!O14</f>
      </c>
      <c r="I13" s="359">
        <f>IF(OR('Games Schedule'!S14="",'Games Schedule'!T14=""),"",TEXT('Games Schedule'!S14,"0")&amp;":"&amp;TEXT('Games Schedule'!T14,"0"))</f>
      </c>
      <c r="J13" s="361">
        <f>'Games Schedule'!X14</f>
      </c>
      <c r="K13" s="362">
        <f>'Games Schedule'!Y14</f>
      </c>
    </row>
    <row r="14" spans="1:11" ht="22.2" customHeight="1">
      <c r="A14" s="353">
        <f>'Games Schedule'!B15</f>
      </c>
      <c r="B14" s="354">
        <f>'Games Schedule'!C15</f>
      </c>
      <c r="C14" s="355">
        <f>'Games Schedule'!D15</f>
      </c>
      <c r="D14" s="355">
        <f>'Games Schedule'!E15</f>
      </c>
      <c r="E14" s="354">
        <f>'Games Schedule'!I15</f>
      </c>
      <c r="F14" s="354">
        <f>'Games Schedule'!J15</f>
      </c>
      <c r="G14" s="356">
        <f>'Games Schedule'!N15</f>
      </c>
      <c r="H14" s="356">
        <f>'Games Schedule'!O15</f>
      </c>
      <c r="I14" s="354">
        <f>IF(OR('Games Schedule'!S15="",'Games Schedule'!T15=""),"",TEXT('Games Schedule'!S15,"0")&amp;":"&amp;TEXT('Games Schedule'!T15,"0"))</f>
      </c>
      <c r="J14" s="356">
        <f>'Games Schedule'!X15</f>
      </c>
      <c r="K14" s="357">
        <f>'Games Schedule'!Y15</f>
      </c>
    </row>
    <row r="15" spans="1:11" ht="22.2" customHeight="1">
      <c r="A15" s="358">
        <f>'Games Schedule'!B16</f>
      </c>
      <c r="B15" s="359">
        <f>'Games Schedule'!C16</f>
      </c>
      <c r="C15" s="360">
        <f>'Games Schedule'!D16</f>
      </c>
      <c r="D15" s="360">
        <f>'Games Schedule'!E16</f>
      </c>
      <c r="E15" s="359">
        <f>'Games Schedule'!I16</f>
      </c>
      <c r="F15" s="359">
        <f>'Games Schedule'!J16</f>
      </c>
      <c r="G15" s="361">
        <f>'Games Schedule'!N16</f>
      </c>
      <c r="H15" s="361">
        <f>'Games Schedule'!O16</f>
      </c>
      <c r="I15" s="359">
        <f>IF(OR('Games Schedule'!S16="",'Games Schedule'!T16=""),"",TEXT('Games Schedule'!S16,"0")&amp;":"&amp;TEXT('Games Schedule'!T16,"0"))</f>
      </c>
      <c r="J15" s="361">
        <f>'Games Schedule'!X16</f>
      </c>
      <c r="K15" s="362">
        <f>'Games Schedule'!Y16</f>
      </c>
    </row>
    <row r="16" spans="1:11" ht="22.2" customHeight="1">
      <c r="A16" s="353">
        <f>'Games Schedule'!B17</f>
      </c>
      <c r="B16" s="354">
        <f>'Games Schedule'!C17</f>
      </c>
      <c r="C16" s="355">
        <f>'Games Schedule'!D17</f>
      </c>
      <c r="D16" s="355">
        <f>'Games Schedule'!E17</f>
      </c>
      <c r="E16" s="354">
        <f>'Games Schedule'!I17</f>
      </c>
      <c r="F16" s="354">
        <f>'Games Schedule'!J17</f>
      </c>
      <c r="G16" s="356">
        <f>'Games Schedule'!N17</f>
      </c>
      <c r="H16" s="356">
        <f>'Games Schedule'!O17</f>
      </c>
      <c r="I16" s="354">
        <f>IF(OR('Games Schedule'!S17="",'Games Schedule'!T17=""),"",TEXT('Games Schedule'!S17,"0")&amp;":"&amp;TEXT('Games Schedule'!T17,"0"))</f>
      </c>
      <c r="J16" s="356">
        <f>'Games Schedule'!X17</f>
      </c>
      <c r="K16" s="357">
        <f>'Games Schedule'!Y17</f>
      </c>
    </row>
    <row r="17" spans="1:11" ht="22.2" customHeight="1">
      <c r="A17" s="358">
        <f>'Games Schedule'!B18</f>
      </c>
      <c r="B17" s="359">
        <f>'Games Schedule'!C18</f>
      </c>
      <c r="C17" s="360">
        <f>'Games Schedule'!D18</f>
      </c>
      <c r="D17" s="360">
        <f>'Games Schedule'!E18</f>
      </c>
      <c r="E17" s="359">
        <f>'Games Schedule'!I18</f>
      </c>
      <c r="F17" s="359">
        <f>'Games Schedule'!J18</f>
      </c>
      <c r="G17" s="361">
        <f>'Games Schedule'!N18</f>
      </c>
      <c r="H17" s="361">
        <f>'Games Schedule'!O18</f>
      </c>
      <c r="I17" s="359">
        <f>IF(OR('Games Schedule'!S18="",'Games Schedule'!T18=""),"",TEXT('Games Schedule'!S18,"0")&amp;":"&amp;TEXT('Games Schedule'!T18,"0"))</f>
      </c>
      <c r="J17" s="361">
        <f>'Games Schedule'!X18</f>
      </c>
      <c r="K17" s="362">
        <f>'Games Schedule'!Y18</f>
      </c>
    </row>
    <row r="18" spans="1:11" ht="22.2" customHeight="1">
      <c r="A18" s="353">
        <f>'Games Schedule'!B19</f>
      </c>
      <c r="B18" s="354">
        <f>'Games Schedule'!C19</f>
      </c>
      <c r="C18" s="355">
        <f>'Games Schedule'!D19</f>
      </c>
      <c r="D18" s="355">
        <f>'Games Schedule'!E19</f>
      </c>
      <c r="E18" s="354">
        <f>'Games Schedule'!I19</f>
      </c>
      <c r="F18" s="354">
        <f>'Games Schedule'!J19</f>
      </c>
      <c r="G18" s="356">
        <f>'Games Schedule'!N19</f>
      </c>
      <c r="H18" s="356">
        <f>'Games Schedule'!O19</f>
      </c>
      <c r="I18" s="354">
        <f>IF(OR('Games Schedule'!S19="",'Games Schedule'!T19=""),"",TEXT('Games Schedule'!S19,"0")&amp;":"&amp;TEXT('Games Schedule'!T19,"0"))</f>
      </c>
      <c r="J18" s="356">
        <f>'Games Schedule'!X19</f>
      </c>
      <c r="K18" s="357">
        <f>'Games Schedule'!Y19</f>
      </c>
    </row>
    <row r="19" spans="1:11" ht="22.2" customHeight="1">
      <c r="A19" s="358">
        <f>'Games Schedule'!B20</f>
      </c>
      <c r="B19" s="359">
        <f>'Games Schedule'!C20</f>
      </c>
      <c r="C19" s="360">
        <f>'Games Schedule'!D20</f>
      </c>
      <c r="D19" s="360">
        <f>'Games Schedule'!E20</f>
      </c>
      <c r="E19" s="359">
        <f>'Games Schedule'!I20</f>
      </c>
      <c r="F19" s="359">
        <f>'Games Schedule'!J20</f>
      </c>
      <c r="G19" s="361">
        <f>'Games Schedule'!N20</f>
      </c>
      <c r="H19" s="361">
        <f>'Games Schedule'!O20</f>
      </c>
      <c r="I19" s="359">
        <f>IF(OR('Games Schedule'!S20="",'Games Schedule'!T20=""),"",TEXT('Games Schedule'!S20,"0")&amp;":"&amp;TEXT('Games Schedule'!T20,"0"))</f>
      </c>
      <c r="J19" s="361">
        <f>'Games Schedule'!X20</f>
      </c>
      <c r="K19" s="362">
        <f>'Games Schedule'!Y20</f>
      </c>
    </row>
    <row r="20" spans="1:11" ht="22.2" customHeight="1">
      <c r="A20" s="353">
        <f>'Games Schedule'!B21</f>
      </c>
      <c r="B20" s="354">
        <f>'Games Schedule'!C21</f>
      </c>
      <c r="C20" s="355">
        <f>'Games Schedule'!D21</f>
      </c>
      <c r="D20" s="355">
        <f>'Games Schedule'!E21</f>
      </c>
      <c r="E20" s="354">
        <f>'Games Schedule'!I21</f>
      </c>
      <c r="F20" s="354">
        <f>'Games Schedule'!J21</f>
      </c>
      <c r="G20" s="356">
        <f>'Games Schedule'!N21</f>
      </c>
      <c r="H20" s="356">
        <f>'Games Schedule'!O21</f>
      </c>
      <c r="I20" s="354">
        <f>IF(OR('Games Schedule'!S21="",'Games Schedule'!T21=""),"",TEXT('Games Schedule'!S21,"0")&amp;":"&amp;TEXT('Games Schedule'!T21,"0"))</f>
      </c>
      <c r="J20" s="356">
        <f>'Games Schedule'!X21</f>
      </c>
      <c r="K20" s="357">
        <f>'Games Schedule'!Y21</f>
      </c>
    </row>
    <row r="21" spans="1:11" ht="22.2" customHeight="1">
      <c r="A21" s="358">
        <f>'Games Schedule'!B22</f>
      </c>
      <c r="B21" s="359">
        <f>'Games Schedule'!C22</f>
      </c>
      <c r="C21" s="360">
        <f>'Games Schedule'!D22</f>
      </c>
      <c r="D21" s="360">
        <f>'Games Schedule'!E22</f>
      </c>
      <c r="E21" s="359">
        <f>'Games Schedule'!I22</f>
      </c>
      <c r="F21" s="359">
        <f>'Games Schedule'!J22</f>
      </c>
      <c r="G21" s="361">
        <f>'Games Schedule'!N22</f>
      </c>
      <c r="H21" s="361">
        <f>'Games Schedule'!O22</f>
      </c>
      <c r="I21" s="359">
        <f>IF(OR('Games Schedule'!S22="",'Games Schedule'!T22=""),"",TEXT('Games Schedule'!S22,"0")&amp;":"&amp;TEXT('Games Schedule'!T22,"0"))</f>
      </c>
      <c r="J21" s="361">
        <f>'Games Schedule'!X22</f>
      </c>
      <c r="K21" s="362">
        <f>'Games Schedule'!Y22</f>
      </c>
    </row>
    <row r="22" spans="1:11" ht="22.2" customHeight="1">
      <c r="A22" s="353">
        <f>'Games Schedule'!B23</f>
      </c>
      <c r="B22" s="354">
        <f>'Games Schedule'!C23</f>
      </c>
      <c r="C22" s="355">
        <f>'Games Schedule'!D23</f>
      </c>
      <c r="D22" s="355">
        <f>'Games Schedule'!E23</f>
      </c>
      <c r="E22" s="354">
        <f>'Games Schedule'!I23</f>
      </c>
      <c r="F22" s="354">
        <f>'Games Schedule'!J23</f>
      </c>
      <c r="G22" s="356">
        <f>'Games Schedule'!N23</f>
      </c>
      <c r="H22" s="356">
        <f>'Games Schedule'!O23</f>
      </c>
      <c r="I22" s="354">
        <f>IF(OR('Games Schedule'!S23="",'Games Schedule'!T23=""),"",TEXT('Games Schedule'!S23,"0")&amp;":"&amp;TEXT('Games Schedule'!T23,"0"))</f>
      </c>
      <c r="J22" s="356">
        <f>'Games Schedule'!X23</f>
      </c>
      <c r="K22" s="357">
        <f>'Games Schedule'!Y23</f>
      </c>
    </row>
    <row r="23" spans="1:11" ht="22.2" customHeight="1">
      <c r="A23" s="358">
        <f>'Games Schedule'!B24</f>
      </c>
      <c r="B23" s="359">
        <f>'Games Schedule'!C24</f>
      </c>
      <c r="C23" s="360">
        <f>'Games Schedule'!D24</f>
      </c>
      <c r="D23" s="360">
        <f>'Games Schedule'!E24</f>
      </c>
      <c r="E23" s="359">
        <f>'Games Schedule'!I24</f>
      </c>
      <c r="F23" s="359">
        <f>'Games Schedule'!J24</f>
      </c>
      <c r="G23" s="361">
        <f>'Games Schedule'!N24</f>
      </c>
      <c r="H23" s="361">
        <f>'Games Schedule'!O24</f>
      </c>
      <c r="I23" s="359">
        <f>IF(OR('Games Schedule'!S24="",'Games Schedule'!T24=""),"",TEXT('Games Schedule'!S24,"0")&amp;":"&amp;TEXT('Games Schedule'!T24,"0"))</f>
      </c>
      <c r="J23" s="361">
        <f>'Games Schedule'!X24</f>
      </c>
      <c r="K23" s="362">
        <f>'Games Schedule'!Y24</f>
      </c>
    </row>
    <row r="24" spans="1:11" ht="22.2" customHeight="1">
      <c r="A24" s="353">
        <f>'Games Schedule'!B25</f>
      </c>
      <c r="B24" s="354">
        <f>'Games Schedule'!C25</f>
      </c>
      <c r="C24" s="355">
        <f>'Games Schedule'!D25</f>
      </c>
      <c r="D24" s="355">
        <f>'Games Schedule'!E25</f>
      </c>
      <c r="E24" s="354">
        <f>'Games Schedule'!I25</f>
      </c>
      <c r="F24" s="354">
        <f>'Games Schedule'!J25</f>
      </c>
      <c r="G24" s="356">
        <f>'Games Schedule'!N25</f>
      </c>
      <c r="H24" s="356">
        <f>'Games Schedule'!O25</f>
      </c>
      <c r="I24" s="354">
        <f>IF(OR('Games Schedule'!S25="",'Games Schedule'!T25=""),"",TEXT('Games Schedule'!S25,"0")&amp;":"&amp;TEXT('Games Schedule'!T25,"0"))</f>
      </c>
      <c r="J24" s="356">
        <f>'Games Schedule'!X25</f>
      </c>
      <c r="K24" s="357">
        <f>'Games Schedule'!Y25</f>
      </c>
    </row>
    <row r="25" spans="1:11" ht="22.2" customHeight="1">
      <c r="A25" s="358">
        <f>'Games Schedule'!B26</f>
      </c>
      <c r="B25" s="359">
        <f>'Games Schedule'!C26</f>
      </c>
      <c r="C25" s="360">
        <f>'Games Schedule'!D26</f>
      </c>
      <c r="D25" s="360">
        <f>'Games Schedule'!E26</f>
      </c>
      <c r="E25" s="359">
        <f>'Games Schedule'!I26</f>
      </c>
      <c r="F25" s="359">
        <f>'Games Schedule'!J26</f>
      </c>
      <c r="G25" s="361">
        <f>'Games Schedule'!N26</f>
      </c>
      <c r="H25" s="361">
        <f>'Games Schedule'!O26</f>
      </c>
      <c r="I25" s="359">
        <f>IF(OR('Games Schedule'!S26="",'Games Schedule'!T26=""),"",TEXT('Games Schedule'!S26,"0")&amp;":"&amp;TEXT('Games Schedule'!T26,"0"))</f>
      </c>
      <c r="J25" s="361">
        <f>'Games Schedule'!X26</f>
      </c>
      <c r="K25" s="362">
        <f>'Games Schedule'!Y26</f>
      </c>
    </row>
    <row r="26" spans="1:11" ht="22.2" customHeight="1">
      <c r="A26" s="353">
        <f>'Games Schedule'!B27</f>
      </c>
      <c r="B26" s="354">
        <f>'Games Schedule'!C27</f>
      </c>
      <c r="C26" s="355">
        <f>'Games Schedule'!D27</f>
      </c>
      <c r="D26" s="355">
        <f>'Games Schedule'!E27</f>
      </c>
      <c r="E26" s="354">
        <f>'Games Schedule'!I27</f>
      </c>
      <c r="F26" s="354">
        <f>'Games Schedule'!J27</f>
      </c>
      <c r="G26" s="356">
        <f>'Games Schedule'!N27</f>
      </c>
      <c r="H26" s="356">
        <f>'Games Schedule'!O27</f>
      </c>
      <c r="I26" s="354">
        <f>IF(OR('Games Schedule'!S27="",'Games Schedule'!T27=""),"",TEXT('Games Schedule'!S27,"0")&amp;":"&amp;TEXT('Games Schedule'!T27,"0"))</f>
      </c>
      <c r="J26" s="356">
        <f>'Games Schedule'!X27</f>
      </c>
      <c r="K26" s="357">
        <f>'Games Schedule'!Y27</f>
      </c>
    </row>
    <row r="27" spans="1:11" ht="22.2" customHeight="1">
      <c r="A27" s="358">
        <f>'Games Schedule'!B28</f>
      </c>
      <c r="B27" s="359">
        <f>'Games Schedule'!C28</f>
      </c>
      <c r="C27" s="360">
        <f>'Games Schedule'!D28</f>
      </c>
      <c r="D27" s="360">
        <f>'Games Schedule'!E28</f>
      </c>
      <c r="E27" s="359">
        <f>'Games Schedule'!I28</f>
      </c>
      <c r="F27" s="359">
        <f>'Games Schedule'!J28</f>
      </c>
      <c r="G27" s="361">
        <f>'Games Schedule'!N28</f>
      </c>
      <c r="H27" s="361">
        <f>'Games Schedule'!O28</f>
      </c>
      <c r="I27" s="359">
        <f>IF(OR('Games Schedule'!S28="",'Games Schedule'!T28=""),"",TEXT('Games Schedule'!S28,"0")&amp;":"&amp;TEXT('Games Schedule'!T28,"0"))</f>
      </c>
      <c r="J27" s="361">
        <f>'Games Schedule'!X28</f>
      </c>
      <c r="K27" s="362">
        <f>'Games Schedule'!Y28</f>
      </c>
    </row>
    <row r="28" spans="1:11" ht="22.2" customHeight="1">
      <c r="A28" s="353">
        <f>'Games Schedule'!B29</f>
      </c>
      <c r="B28" s="354">
        <f>'Games Schedule'!C29</f>
      </c>
      <c r="C28" s="355">
        <f>'Games Schedule'!D29</f>
      </c>
      <c r="D28" s="355">
        <f>'Games Schedule'!E29</f>
      </c>
      <c r="E28" s="354">
        <f>'Games Schedule'!I29</f>
      </c>
      <c r="F28" s="354">
        <f>'Games Schedule'!J29</f>
      </c>
      <c r="G28" s="356">
        <f>'Games Schedule'!N29</f>
      </c>
      <c r="H28" s="356">
        <f>'Games Schedule'!O29</f>
      </c>
      <c r="I28" s="354">
        <f>IF(OR('Games Schedule'!S29="",'Games Schedule'!T29=""),"",TEXT('Games Schedule'!S29,"0")&amp;":"&amp;TEXT('Games Schedule'!T29,"0"))</f>
      </c>
      <c r="J28" s="356">
        <f>'Games Schedule'!X29</f>
      </c>
      <c r="K28" s="357">
        <f>'Games Schedule'!Y29</f>
      </c>
    </row>
    <row r="29" spans="1:11" ht="22.2" customHeight="1">
      <c r="A29" s="358">
        <f>'Games Schedule'!B30</f>
      </c>
      <c r="B29" s="359">
        <f>'Games Schedule'!C30</f>
      </c>
      <c r="C29" s="360">
        <f>'Games Schedule'!D30</f>
      </c>
      <c r="D29" s="360">
        <f>'Games Schedule'!E30</f>
      </c>
      <c r="E29" s="359">
        <f>'Games Schedule'!I30</f>
      </c>
      <c r="F29" s="359">
        <f>'Games Schedule'!J30</f>
      </c>
      <c r="G29" s="361">
        <f>'Games Schedule'!N30</f>
      </c>
      <c r="H29" s="361">
        <f>'Games Schedule'!O30</f>
      </c>
      <c r="I29" s="359">
        <f>IF(OR('Games Schedule'!S30="",'Games Schedule'!T30=""),"",TEXT('Games Schedule'!S30,"0")&amp;":"&amp;TEXT('Games Schedule'!T30,"0"))</f>
      </c>
      <c r="J29" s="361">
        <f>'Games Schedule'!X30</f>
      </c>
      <c r="K29" s="362">
        <f>'Games Schedule'!Y30</f>
      </c>
    </row>
    <row r="30" spans="1:11" ht="22.2" customHeight="1">
      <c r="A30" s="363">
        <f>'Games Schedule'!B31</f>
      </c>
      <c r="B30" s="364">
        <f>'Games Schedule'!C31</f>
      </c>
      <c r="C30" s="365">
        <f>'Games Schedule'!D31</f>
      </c>
      <c r="D30" s="365">
        <f>'Games Schedule'!E31</f>
      </c>
      <c r="E30" s="364">
        <f>'Games Schedule'!I31</f>
      </c>
      <c r="F30" s="364">
        <f>'Games Schedule'!J31</f>
      </c>
      <c r="G30" s="366">
        <f>'Games Schedule'!N31</f>
      </c>
      <c r="H30" s="366">
        <f>'Games Schedule'!O31</f>
      </c>
      <c r="I30" s="364">
        <f>IF(OR('Games Schedule'!S31="",'Games Schedule'!T31=""),"",TEXT('Games Schedule'!S31,"0")&amp;":"&amp;TEXT('Games Schedule'!T31,"0"))</f>
      </c>
      <c r="J30" s="366">
        <f>'Games Schedule'!X31</f>
      </c>
      <c r="K30" s="367">
        <f>'Games Schedule'!Y31</f>
      </c>
    </row>
    <row r="32" spans="1:11">
      <c r="A32" s="826" t="s">
        <v>916</v>
      </c>
      <c r="B32" s="827"/>
      <c r="C32" s="827"/>
      <c r="D32" s="827"/>
      <c r="E32" s="827"/>
      <c r="F32" s="827"/>
      <c r="G32" s="827"/>
      <c r="H32" s="827"/>
      <c r="I32" s="827"/>
      <c r="J32" s="827"/>
      <c r="K32" s="827"/>
    </row>
  </sheetData>
  <mergeCells count="2">
    <mergeCell ref="A1:K1"/>
    <mergeCell ref="A32:K32"/>
  </mergeCells>
  <printOptions horizontalCentered="1"/>
  <pageMargins left="0.40277777777777779" right="0.40277777777777779" top="0.5" bottom="0.5" header="0.30555555555555558" footer="0.30555555555555558"/>
  <pageSetup scale="75"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9D18E"/>
  </sheetPr>
  <dimension ref="A1:N1000"/>
  <sheetViews>
    <sheetView showGridLines="0" workbookViewId="0">
      <selection activeCell="P20" sqref="P20"/>
    </sheetView>
  </sheetViews>
  <sheetFormatPr defaultColWidth="14.44140625" defaultRowHeight="15" customHeight="1"/>
  <cols>
    <col min="1" max="1" width="8.6640625" customWidth="1"/>
    <col min="2" max="2" width="23.88671875" customWidth="1"/>
    <col min="3" max="4" width="21.109375" customWidth="1"/>
    <col min="5" max="5" width="12.5546875" customWidth="1"/>
    <col min="6" max="6" width="20" customWidth="1"/>
    <col min="7" max="8" width="8.6640625" customWidth="1"/>
    <col min="9" max="9" width="23.88671875" customWidth="1"/>
    <col min="10" max="10" width="17.44140625" customWidth="1"/>
    <col min="11" max="11" width="16.6640625" customWidth="1"/>
    <col min="12" max="12" width="18.33203125" customWidth="1"/>
    <col min="13" max="13" width="20.109375" customWidth="1"/>
    <col min="14" max="16" width="8.6640625" customWidth="1"/>
    <col min="17" max="17" width="18.109375" customWidth="1"/>
    <col min="18" max="26" width="8.6640625" customWidth="1"/>
  </cols>
  <sheetData>
    <row r="1" spans="1:14" ht="14.4">
      <c r="A1" s="805" t="s">
        <v>917</v>
      </c>
      <c r="H1" s="234" t="s">
        <v>918</v>
      </c>
      <c r="I1" s="8"/>
    </row>
    <row r="2" spans="1:14" ht="14.4">
      <c r="A2" s="235"/>
      <c r="B2" s="681" t="s">
        <v>104</v>
      </c>
      <c r="C2" s="691" t="s">
        <v>919</v>
      </c>
      <c r="D2" s="691" t="s">
        <v>920</v>
      </c>
      <c r="E2" s="691" t="s">
        <v>921</v>
      </c>
      <c r="F2" s="691" t="s">
        <v>922</v>
      </c>
      <c r="G2" s="526" t="s">
        <v>923</v>
      </c>
      <c r="I2" s="692" t="s">
        <v>445</v>
      </c>
      <c r="J2" s="261" t="s">
        <v>444</v>
      </c>
      <c r="K2" s="261" t="s">
        <v>447</v>
      </c>
      <c r="L2" s="261" t="s">
        <v>448</v>
      </c>
      <c r="M2" s="261" t="s">
        <v>449</v>
      </c>
      <c r="N2" s="261" t="s">
        <v>450</v>
      </c>
    </row>
    <row r="3" spans="1:14" ht="14.4">
      <c r="A3" s="693" t="s">
        <v>421</v>
      </c>
      <c r="B3" s="371">
        <f>IFERROR(INDEX('Standings Engine'!$A$4:$A$16,MATCH($A3,'Standings Engine'!$J$4:$J$16,0)),"")</f>
      </c>
      <c r="C3" s="369">
        <f>IFERROR(INDEX('Standings Engine'!$D$4:$D$16,MATCH($A3,'Standings Engine'!$J$4:$J$16,0)),"")</f>
      </c>
      <c r="D3" s="369">
        <f>IFERROR(INDEX('Standings Engine'!$E$4:$E$16,MATCH($A3,'Standings Engine'!$J$4:$J$16,0)),"")</f>
      </c>
      <c r="E3" s="369">
        <f>IFERROR(INDEX('Standings Engine'!$F$4:$F$16,MATCH($A3,'Standings Engine'!$J$4:$J$16,0)),"")</f>
      </c>
      <c r="F3" s="369">
        <f>IFERROR(INDEX('Standings Engine'!$G$4:$G$16,MATCH($A3,'Standings Engine'!$J$4:$J$16,0)),"")</f>
      </c>
      <c r="G3" s="581">
        <f>IFERROR(INDEX('Standings Engine'!$H$4:$H$16,MATCH($A3,'Standings Engine'!$J$4:$J$16,0)),"")</f>
      </c>
      <c r="H3" s="694" t="s">
        <v>421</v>
      </c>
      <c r="I3" s="192" cm="1">
        <f t="array" ref="I3">IFERROR(_xlfn._xlws.SORT(_xlfn._xlws.FILTER(A3:F6,B3:B6&lt;&gt;""),{3,6},{-1,-1}),"")</f>
      </c>
      <c r="J3" s="453"/>
      <c r="K3" s="619"/>
      <c r="L3" s="619"/>
      <c r="M3" s="619"/>
      <c r="N3" s="620"/>
    </row>
    <row r="4" spans="1:14" ht="14.4">
      <c r="A4" s="695" t="s">
        <v>422</v>
      </c>
      <c r="B4" s="190">
        <f>IFERROR(INDEX('Standings Engine'!$A$4:$A$16,MATCH($A4,'Standings Engine'!$J$4:$J$16,0)),"")</f>
      </c>
      <c r="C4" s="370">
        <f>IFERROR(INDEX('Standings Engine'!$D$4:$D$16,MATCH($A4,'Standings Engine'!$J$4:$J$16,0)),"")</f>
      </c>
      <c r="D4" s="370">
        <f>IFERROR(INDEX('Standings Engine'!$E$4:$E$16,MATCH($A4,'Standings Engine'!$J$4:$J$16,0)),"")</f>
      </c>
      <c r="E4" s="370">
        <f>IFERROR(INDEX('Standings Engine'!$F$4:$F$16,MATCH($A4,'Standings Engine'!$J$4:$J$16,0)),"")</f>
      </c>
      <c r="F4" s="191">
        <f>IFERROR(INDEX('Standings Engine'!$G$4:$G$16,MATCH($A4,'Standings Engine'!$J$4:$J$16,0)),"")</f>
      </c>
      <c r="G4" s="527">
        <f>IFERROR(INDEX('Standings Engine'!$H$4:$H$16,MATCH($A4,'Standings Engine'!$J$4:$J$16,0)),"")</f>
      </c>
      <c r="H4" s="694" t="s">
        <v>422</v>
      </c>
      <c r="I4" s="194"/>
      <c r="J4" s="193"/>
      <c r="K4" s="621"/>
      <c r="L4" s="621"/>
      <c r="M4" s="621"/>
      <c r="N4" s="622"/>
    </row>
    <row r="5" spans="1:14" ht="14.4">
      <c r="A5" s="693" t="s">
        <v>428</v>
      </c>
      <c r="B5" s="188">
        <f>IFERROR(INDEX('Standings Engine'!$A$4:$A$16,MATCH($A5,'Standings Engine'!$J$4:$J$16,0)),"")</f>
      </c>
      <c r="C5" s="369">
        <f>IFERROR(INDEX('Standings Engine'!$D$4:$D$16,MATCH($A5,'Standings Engine'!$J$4:$J$16,0)),"")</f>
      </c>
      <c r="D5" s="369">
        <f>IFERROR(INDEX('Standings Engine'!$E$4:$E$16,MATCH($A5,'Standings Engine'!$J$4:$J$16,0)),"")</f>
      </c>
      <c r="E5" s="369">
        <f>IFERROR(INDEX('Standings Engine'!$F$4:$F$16,MATCH($A5,'Standings Engine'!$J$4:$J$16,0)),"")</f>
      </c>
      <c r="F5" s="189">
        <f>IFERROR(INDEX('Standings Engine'!$G$4:$G$16,MATCH($A5,'Standings Engine'!$J$4:$J$16,0)),"")</f>
      </c>
      <c r="G5" s="527">
        <f>IFERROR(INDEX('Standings Engine'!$H$4:$H$16,MATCH($A5,'Standings Engine'!$J$4:$J$16,0)),"")</f>
      </c>
      <c r="H5" s="694" t="s">
        <v>428</v>
      </c>
      <c r="I5" s="194"/>
      <c r="J5" s="193"/>
      <c r="K5" s="621"/>
      <c r="L5" s="621"/>
      <c r="M5" s="621"/>
      <c r="N5" s="622"/>
    </row>
    <row r="6" spans="1:14" ht="14.4">
      <c r="A6" s="695" t="s">
        <v>429</v>
      </c>
      <c r="B6" s="190">
        <f>IFERROR(INDEX('Standings Engine'!$A$4:$A$16,MATCH($A6,'Standings Engine'!$J$4:$J$16,0)),"")</f>
      </c>
      <c r="C6" s="370">
        <f>IFERROR(INDEX('Standings Engine'!$D$4:$D$16,MATCH($A6,'Standings Engine'!$J$4:$J$16,0)),"")</f>
      </c>
      <c r="D6" s="370">
        <f>IFERROR(INDEX('Standings Engine'!$E$4:$E$16,MATCH($A6,'Standings Engine'!$J$4:$J$16,0)),"")</f>
      </c>
      <c r="E6" s="370">
        <f>IFERROR(INDEX('Standings Engine'!$F$4:$F$16,MATCH($A6,'Standings Engine'!$J$4:$J$16,0)),"")</f>
      </c>
      <c r="F6" s="191">
        <f>IFERROR(INDEX('Standings Engine'!$G$4:$G$16,MATCH($A6,'Standings Engine'!$J$4:$J$16,0)),"")</f>
      </c>
      <c r="G6" s="527">
        <f>IFERROR(INDEX('Standings Engine'!$H$4:$H$16,MATCH($A6,'Standings Engine'!$J$4:$J$16,0)),"")</f>
      </c>
      <c r="H6" s="694" t="s">
        <v>429</v>
      </c>
      <c r="I6" s="194"/>
      <c r="J6" s="193"/>
      <c r="K6" s="621"/>
      <c r="L6" s="621"/>
      <c r="M6" s="621"/>
      <c r="N6" s="622"/>
    </row>
    <row r="7" spans="1:14" ht="14.4">
      <c r="B7" s="10" t="s">
        <v>924</v>
      </c>
      <c r="C7" s="368">
        <f>SUM(C3:C6)</f>
      </c>
      <c r="D7" s="9"/>
      <c r="E7" s="9"/>
      <c r="F7" s="9"/>
    </row>
    <row r="8" spans="1:14" ht="14.4">
      <c r="C8" s="9"/>
      <c r="D8" s="9"/>
      <c r="E8" s="9"/>
      <c r="F8" s="9"/>
    </row>
    <row r="9" spans="1:14" ht="14.4">
      <c r="A9" s="305"/>
      <c r="B9" s="696" t="s">
        <v>105</v>
      </c>
      <c r="C9" s="697">
        <f t="shared" ref="C9:F9" si="0">C2</f>
      </c>
      <c r="D9" s="697">
        <f t="shared" si="0"/>
      </c>
      <c r="E9" s="697">
        <f t="shared" si="0"/>
      </c>
      <c r="F9" s="697">
        <f t="shared" si="0"/>
      </c>
      <c r="I9" s="692" t="s">
        <v>445</v>
      </c>
      <c r="J9" s="261" t="s">
        <v>444</v>
      </c>
      <c r="K9" s="261" t="s">
        <v>447</v>
      </c>
      <c r="L9" s="261" t="s">
        <v>448</v>
      </c>
      <c r="M9" s="261" t="s">
        <v>449</v>
      </c>
      <c r="N9" s="261" t="s">
        <v>450</v>
      </c>
    </row>
    <row r="10" spans="1:14" ht="14.4">
      <c r="A10" s="693" t="s">
        <v>424</v>
      </c>
      <c r="B10" s="188">
        <f>IFERROR(INDEX('Standings Engine'!$A$4:$A$16,MATCH($A10,'Standings Engine'!$J$4:$J$16,0)),"")</f>
      </c>
      <c r="C10" s="369">
        <f>IFERROR(INDEX('Standings Engine'!$D$4:$D$16,MATCH($A10,'Standings Engine'!$J$4:$J$16,0)),"")</f>
      </c>
      <c r="D10" s="369">
        <f>IFERROR(INDEX('Standings Engine'!$E$4:$E$16,MATCH($A10,'Standings Engine'!$J$4:$J$16,0)),"")</f>
      </c>
      <c r="E10" s="369">
        <f>IFERROR(INDEX('Standings Engine'!$F$4:$F$16,MATCH($A10,'Standings Engine'!$J$4:$J$16,0)),"")</f>
      </c>
      <c r="F10" s="189">
        <f>IFERROR(INDEX('Standings Engine'!$G$4:$G$16,MATCH($A10,'Standings Engine'!$J$4:$J$16,0)),"")</f>
      </c>
      <c r="G10" s="527">
        <f>IFERROR(INDEX('Standings Engine'!$H$4:$H$16,MATCH($A10,'Standings Engine'!$J$4:$J$16,0)),"")</f>
      </c>
      <c r="H10" s="694" t="s">
        <v>424</v>
      </c>
      <c r="I10" s="192" cm="1">
        <f t="array" ref="I10">IFERROR(_xlfn._xlws.SORT(_xlfn._xlws.FILTER(A10:F13,B10:B13&lt;&gt;""),{3,6},{-1,-1}),"")</f>
      </c>
      <c r="J10" s="453"/>
      <c r="K10" s="619"/>
      <c r="L10" s="619"/>
      <c r="M10" s="619"/>
      <c r="N10" s="620"/>
    </row>
    <row r="11" spans="1:14" ht="14.4">
      <c r="A11" s="695" t="s">
        <v>425</v>
      </c>
      <c r="B11" s="190">
        <f>IFERROR(INDEX('Standings Engine'!$A$4:$A$16,MATCH($A11,'Standings Engine'!$J$4:$J$16,0)),"")</f>
      </c>
      <c r="C11" s="370">
        <f>IFERROR(INDEX('Standings Engine'!$D$4:$D$16,MATCH($A11,'Standings Engine'!$J$4:$J$16,0)),"")</f>
      </c>
      <c r="D11" s="370">
        <f>IFERROR(INDEX('Standings Engine'!$E$4:$E$16,MATCH($A11,'Standings Engine'!$J$4:$J$16,0)),"")</f>
      </c>
      <c r="E11" s="370">
        <f>IFERROR(INDEX('Standings Engine'!$F$4:$F$16,MATCH($A11,'Standings Engine'!$J$4:$J$16,0)),"")</f>
      </c>
      <c r="F11" s="191">
        <f>IFERROR(INDEX('Standings Engine'!$G$4:$G$16,MATCH($A11,'Standings Engine'!$J$4:$J$16,0)),"")</f>
      </c>
      <c r="G11" s="527">
        <f>IFERROR(INDEX('Standings Engine'!$H$4:$H$16,MATCH($A11,'Standings Engine'!$J$4:$J$16,0)),"")</f>
      </c>
      <c r="H11" s="694" t="s">
        <v>425</v>
      </c>
      <c r="I11" s="194"/>
      <c r="J11" s="193"/>
      <c r="K11" s="621"/>
      <c r="L11" s="621"/>
      <c r="M11" s="621"/>
      <c r="N11" s="622"/>
    </row>
    <row r="12" spans="1:14" ht="14.4">
      <c r="A12" s="693" t="s">
        <v>430</v>
      </c>
      <c r="B12" s="188">
        <f>IFERROR(INDEX('Standings Engine'!$A$4:$A$16,MATCH($A12,'Standings Engine'!$J$4:$J$16,0)),"")</f>
      </c>
      <c r="C12" s="369">
        <f>IFERROR(INDEX('Standings Engine'!$D$4:$D$16,MATCH($A12,'Standings Engine'!$J$4:$J$16,0)),"")</f>
      </c>
      <c r="D12" s="369">
        <f>IFERROR(INDEX('Standings Engine'!$E$4:$E$16,MATCH($A12,'Standings Engine'!$J$4:$J$16,0)),"")</f>
      </c>
      <c r="E12" s="369">
        <f>IFERROR(INDEX('Standings Engine'!$F$4:$F$16,MATCH($A12,'Standings Engine'!$J$4:$J$16,0)),"")</f>
      </c>
      <c r="F12" s="189">
        <f>IFERROR(INDEX('Standings Engine'!$G$4:$G$16,MATCH($A12,'Standings Engine'!$J$4:$J$16,0)),"")</f>
      </c>
      <c r="G12" s="527">
        <f>IFERROR(INDEX('Standings Engine'!$H$4:$H$16,MATCH($A12,'Standings Engine'!$J$4:$J$16,0)),"")</f>
      </c>
      <c r="H12" s="694" t="s">
        <v>430</v>
      </c>
      <c r="I12" s="194"/>
      <c r="J12" s="193"/>
      <c r="K12" s="621"/>
      <c r="L12" s="621"/>
      <c r="M12" s="621"/>
      <c r="N12" s="622"/>
    </row>
    <row r="13" spans="1:14" ht="14.4">
      <c r="A13" s="695" t="s">
        <v>431</v>
      </c>
      <c r="B13" s="190">
        <f>IFERROR(INDEX('Standings Engine'!$A$4:$A$16,MATCH($A13,'Standings Engine'!$J$4:$J$16,0)),"")</f>
      </c>
      <c r="C13" s="370">
        <f>IFERROR(INDEX('Standings Engine'!$D$4:$D$16,MATCH($A13,'Standings Engine'!$J$4:$J$16,0)),"")</f>
      </c>
      <c r="D13" s="370">
        <f>IFERROR(INDEX('Standings Engine'!$E$4:$E$16,MATCH($A13,'Standings Engine'!$J$4:$J$16,0)),"")</f>
      </c>
      <c r="E13" s="370">
        <f>IFERROR(INDEX('Standings Engine'!$F$4:$F$16,MATCH($A13,'Standings Engine'!$J$4:$J$16,0)),"")</f>
      </c>
      <c r="F13" s="191">
        <f>IFERROR(INDEX('Standings Engine'!$G$4:$G$16,MATCH($A13,'Standings Engine'!$J$4:$J$16,0)),"")</f>
      </c>
      <c r="G13" s="527">
        <f>IFERROR(INDEX('Standings Engine'!$H$4:$H$16,MATCH($A13,'Standings Engine'!$J$4:$J$16,0)),"")</f>
      </c>
      <c r="H13" s="694" t="s">
        <v>431</v>
      </c>
      <c r="I13" s="194"/>
      <c r="J13" s="193"/>
      <c r="K13" s="621"/>
      <c r="L13" s="621"/>
      <c r="M13" s="621"/>
      <c r="N13" s="622"/>
    </row>
    <row r="14" spans="1:14" ht="14.4">
      <c r="B14" s="10" t="s">
        <v>924</v>
      </c>
      <c r="C14" s="368">
        <f>SUM(C10:C13)</f>
      </c>
      <c r="D14" s="9"/>
      <c r="E14" s="9"/>
      <c r="F14" s="9"/>
    </row>
    <row r="15" spans="1:14" ht="14.4">
      <c r="C15" s="9"/>
      <c r="D15" s="9"/>
      <c r="E15" s="9"/>
      <c r="F15" s="9"/>
    </row>
    <row r="16" spans="1:14" ht="14.4">
      <c r="A16" s="195"/>
      <c r="B16" s="698" t="s">
        <v>107</v>
      </c>
      <c r="C16" s="699">
        <f t="shared" ref="C16:F16" si="1">C9</f>
      </c>
      <c r="D16" s="699">
        <f t="shared" si="1"/>
      </c>
      <c r="E16" s="699">
        <f t="shared" si="1"/>
      </c>
      <c r="F16" s="699">
        <f t="shared" si="1"/>
      </c>
      <c r="I16" s="692" t="s">
        <v>445</v>
      </c>
      <c r="J16" s="261" t="s">
        <v>444</v>
      </c>
      <c r="K16" s="261" t="s">
        <v>447</v>
      </c>
      <c r="L16" s="261" t="s">
        <v>448</v>
      </c>
      <c r="M16" s="261" t="s">
        <v>449</v>
      </c>
      <c r="N16" s="261" t="s">
        <v>450</v>
      </c>
    </row>
    <row r="17" spans="1:14" ht="14.4">
      <c r="A17" s="693">
        <f>IF('Format Engine'!$H$12=1,"W1","WA1")</f>
      </c>
      <c r="B17" s="188">
        <f>IFERROR(INDEX('Standings Engine'!$A$4:$A$16,MATCH($A17,'Standings Engine'!$J$4:$J$16,0)),"")</f>
      </c>
      <c r="C17" s="369">
        <f>IFERROR(INDEX('Standings Engine'!$D$4:$D$16,MATCH($A17,'Standings Engine'!$J$4:$J$16,0)),"")</f>
      </c>
      <c r="D17" s="369">
        <f>IFERROR(INDEX('Standings Engine'!$E$4:$E$16,MATCH($A17,'Standings Engine'!$J$4:$J$16,0)),"")</f>
      </c>
      <c r="E17" s="528">
        <f>IFERROR(INDEX('Standings Engine'!$F$4:$F$16,MATCH($A17,'Standings Engine'!$J$4:$J$16,0)),"")</f>
      </c>
      <c r="F17" s="189">
        <f>IFERROR(INDEX('Standings Engine'!$G$4:$G$16,MATCH($A17,'Standings Engine'!$J$4:$J$16,0)),"")</f>
      </c>
      <c r="G17" s="527">
        <f>IFERROR(INDEX('Standings Engine'!$H$4:$H$16,MATCH($A17,'Standings Engine'!$J$4:$J$16,0)),"")</f>
      </c>
      <c r="H17" s="694" t="s">
        <v>417</v>
      </c>
      <c r="I17" s="192" cm="1">
        <f t="array" ref="I17">IFERROR(_xlfn._xlws.SORT(_xlfn._xlws.FILTER(A17:F22,B17:B22&lt;&gt;""),{3,6},{-1,-1}),"")</f>
      </c>
      <c r="J17" s="453"/>
      <c r="K17" s="454"/>
      <c r="L17" s="454"/>
      <c r="M17" s="454"/>
      <c r="N17" s="455"/>
    </row>
    <row r="18" spans="1:14" ht="14.4">
      <c r="A18" s="695">
        <f>IF('Format Engine'!$H$12=1,"W2","WA2")</f>
      </c>
      <c r="B18" s="190">
        <f>IFERROR(INDEX('Standings Engine'!$A$4:$A$16,MATCH($A18,'Standings Engine'!$J$4:$J$16,0)),"")</f>
      </c>
      <c r="C18" s="370">
        <f>IFERROR(INDEX('Standings Engine'!$D$4:$D$16,MATCH($A18,'Standings Engine'!$J$4:$J$16,0)),"")</f>
      </c>
      <c r="D18" s="370">
        <f>IFERROR(INDEX('Standings Engine'!$E$4:$E$16,MATCH($A18,'Standings Engine'!$J$4:$J$16,0)),"")</f>
      </c>
      <c r="E18" s="529">
        <f>IFERROR(INDEX('Standings Engine'!$F$4:$F$16,MATCH($A18,'Standings Engine'!$J$4:$J$16,0)),"")</f>
      </c>
      <c r="F18" s="191">
        <f>IFERROR(INDEX('Standings Engine'!$G$4:$G$16,MATCH($A18,'Standings Engine'!$J$4:$J$16,0)),"")</f>
      </c>
      <c r="G18" s="527">
        <f>IFERROR(INDEX('Standings Engine'!$H$4:$H$16,MATCH($A18,'Standings Engine'!$J$4:$J$16,0)),"")</f>
      </c>
      <c r="H18" s="694" t="s">
        <v>418</v>
      </c>
      <c r="I18" s="194"/>
      <c r="J18" s="193"/>
      <c r="K18" s="621"/>
      <c r="L18" s="621"/>
      <c r="M18" s="621"/>
      <c r="N18" s="622"/>
    </row>
    <row r="19" spans="1:14" ht="14.4">
      <c r="A19" s="693">
        <f>IF('Format Engine'!$H$12=1,"W3","WA3")</f>
      </c>
      <c r="B19" s="188">
        <f>IFERROR(INDEX('Standings Engine'!$A$4:$A$16,MATCH($A19,'Standings Engine'!$J$4:$J$16,0)),"")</f>
      </c>
      <c r="C19" s="369">
        <f>IFERROR(INDEX('Standings Engine'!$D$4:$D$16,MATCH($A19,'Standings Engine'!$J$4:$J$16,0)),"")</f>
      </c>
      <c r="D19" s="369">
        <f>IFERROR(INDEX('Standings Engine'!$E$4:$E$16,MATCH($A19,'Standings Engine'!$J$4:$J$16,0)),"")</f>
      </c>
      <c r="E19" s="528">
        <f>IFERROR(INDEX('Standings Engine'!$F$4:$F$16,MATCH($A19,'Standings Engine'!$J$4:$J$16,0)),"")</f>
      </c>
      <c r="F19" s="189">
        <f>IFERROR(INDEX('Standings Engine'!$G$4:$G$16,MATCH($A19,'Standings Engine'!$J$4:$J$16,0)),"")</f>
      </c>
      <c r="G19" s="527">
        <f>IFERROR(INDEX('Standings Engine'!$H$4:$H$16,MATCH($A19,'Standings Engine'!$J$4:$J$16,0)),"")</f>
      </c>
      <c r="H19" s="694" t="s">
        <v>426</v>
      </c>
      <c r="I19" s="194"/>
      <c r="J19" s="193"/>
      <c r="K19" s="621"/>
      <c r="L19" s="621"/>
      <c r="M19" s="621"/>
      <c r="N19" s="622"/>
    </row>
    <row r="20" spans="1:14" ht="14.4">
      <c r="A20" s="695">
        <f>IF('Format Engine'!$H$12=1,"W4","WB1")</f>
      </c>
      <c r="B20" s="190">
        <f>IFERROR(INDEX('Standings Engine'!$A$4:$A$16,MATCH($A20,'Standings Engine'!$J$4:$J$16,0)),"")</f>
      </c>
      <c r="C20" s="370">
        <f>IFERROR(INDEX('Standings Engine'!$D$4:$D$16,MATCH($A20,'Standings Engine'!$J$4:$J$16,0)),"")</f>
      </c>
      <c r="D20" s="370">
        <f>IFERROR(INDEX('Standings Engine'!$E$4:$E$16,MATCH($A20,'Standings Engine'!$J$4:$J$16,0)),"")</f>
      </c>
      <c r="E20" s="529">
        <f>IFERROR(INDEX('Standings Engine'!$F$4:$F$16,MATCH($A20,'Standings Engine'!$J$4:$J$16,0)),"")</f>
      </c>
      <c r="F20" s="191">
        <f>IFERROR(INDEX('Standings Engine'!$G$4:$G$16,MATCH($A20,'Standings Engine'!$J$4:$J$16,0)),"")</f>
      </c>
      <c r="G20" s="527">
        <f>IFERROR(INDEX('Standings Engine'!$H$4:$H$16,MATCH($A20,'Standings Engine'!$J$4:$J$16,0)),"")</f>
      </c>
      <c r="H20" s="694" t="s">
        <v>427</v>
      </c>
      <c r="I20" s="194"/>
      <c r="J20" s="193"/>
      <c r="K20" s="621"/>
      <c r="L20" s="621"/>
      <c r="M20" s="621"/>
      <c r="N20" s="622"/>
    </row>
    <row r="21" spans="1:14" ht="15.75" customHeight="1">
      <c r="A21" s="693">
        <f>IF('Format Engine'!$H$12=1,"W5","WB2")</f>
      </c>
      <c r="B21" s="188">
        <f>IFERROR(INDEX('Standings Engine'!$A$4:$A$16,MATCH($A21,'Standings Engine'!$J$4:$J$16,0)),"")</f>
      </c>
      <c r="C21" s="369">
        <f>IFERROR(INDEX('Standings Engine'!$D$4:$D$16,MATCH($A21,'Standings Engine'!$J$4:$J$16,0)),"")</f>
      </c>
      <c r="D21" s="369">
        <f>IFERROR(INDEX('Standings Engine'!$E$4:$E$16,MATCH($A21,'Standings Engine'!$J$4:$J$16,0)),"")</f>
      </c>
      <c r="E21" s="528">
        <f>IFERROR(INDEX('Standings Engine'!$F$4:$F$16,MATCH($A21,'Standings Engine'!$J$4:$J$16,0)),"")</f>
      </c>
      <c r="F21" s="189">
        <f>IFERROR(INDEX('Standings Engine'!$G$4:$G$16,MATCH($A21,'Standings Engine'!$J$4:$J$16,0)),"")</f>
      </c>
      <c r="G21" s="527">
        <f>IFERROR(INDEX('Standings Engine'!$H$4:$H$16,MATCH($A21,'Standings Engine'!$J$4:$J$16,0)),"")</f>
      </c>
      <c r="H21" s="694" t="s">
        <v>432</v>
      </c>
      <c r="I21" s="194"/>
      <c r="J21" s="193"/>
      <c r="K21" s="621"/>
      <c r="L21" s="621"/>
      <c r="M21" s="621"/>
      <c r="N21" s="622"/>
    </row>
    <row r="22" spans="1:14" ht="15.75" customHeight="1">
      <c r="A22" s="693">
        <f>IF('Format Engine'!$H$12=1,"","WB3")</f>
      </c>
      <c r="B22" s="188">
        <f>IF($A22="","",IFERROR(INDEX('Standings Engine'!$A$4:$A$16,MATCH($A22,'Standings Engine'!$J$4:$J$16,0)),""))</f>
      </c>
      <c r="C22" s="369">
        <f>IF($A22="","",IFERROR(INDEX('Standings Engine'!$D$4:$D$16,MATCH($A22,'Standings Engine'!$J$4:$J$16,0)),""))</f>
      </c>
      <c r="D22" s="369">
        <f>IF($A22="","",IFERROR(INDEX('Standings Engine'!$E$4:$E$16,MATCH($A22,'Standings Engine'!$J$4:$J$16,0)),""))</f>
      </c>
      <c r="E22" s="528">
        <f>IF($A22="","",IFERROR(INDEX('Standings Engine'!$F$4:$F$16,MATCH($A22,'Standings Engine'!$J$4:$J$16,0)),""))</f>
      </c>
      <c r="F22" s="189">
        <f>IF($A22="","",IFERROR(INDEX('Standings Engine'!$G$4:$G$16,MATCH($A22,'Standings Engine'!$J$4:$J$16,0)),""))</f>
      </c>
      <c r="G22" s="527">
        <f>IF($A22="","",IFERROR(INDEX('Standings Engine'!$H$4:$H$16,MATCH($A22,'Standings Engine'!$J$4:$J$16,0)),""))</f>
      </c>
      <c r="H22" s="694"/>
      <c r="I22" s="194"/>
      <c r="J22" s="193"/>
      <c r="K22" s="621"/>
      <c r="L22" s="623"/>
      <c r="M22" s="623"/>
      <c r="N22" s="622"/>
    </row>
    <row r="23" spans="1:14" ht="15.75" customHeight="1" thickBot="1">
      <c r="I23" s="828" t="s">
        <v>925</v>
      </c>
      <c r="J23" s="829"/>
      <c r="K23" s="829"/>
      <c r="L23" s="829"/>
      <c r="M23" s="829"/>
      <c r="N23" s="829"/>
    </row>
    <row r="24" spans="1:14" ht="15.75" customHeight="1">
      <c r="B24" s="33" t="s">
        <v>456</v>
      </c>
      <c r="C24" s="34" t="s">
        <v>458</v>
      </c>
      <c r="D24" s="34" t="s">
        <v>446</v>
      </c>
      <c r="E24" s="34" t="s">
        <v>926</v>
      </c>
      <c r="F24" s="35" t="s">
        <v>927</v>
      </c>
      <c r="I24" s="36" t="s">
        <v>444</v>
      </c>
      <c r="J24" s="37" t="s">
        <v>928</v>
      </c>
      <c r="K24" s="37" t="s">
        <v>929</v>
      </c>
      <c r="L24" s="37" t="s">
        <v>930</v>
      </c>
      <c r="M24" s="37" t="s">
        <v>931</v>
      </c>
      <c r="N24" s="37" t="s">
        <v>621</v>
      </c>
    </row>
    <row r="25" spans="1:14" ht="15.75" customHeight="1">
      <c r="B25" s="802">
        <f>'Teams Master'!C2</f>
      </c>
      <c r="C25" s="371">
        <f>IFERROR(INDEX('Teams Master'!$D$2:$D$14,MATCH($B25,'Teams Master'!$C$2:$C$14,0)),"")</f>
      </c>
      <c r="D25" s="371">
        <f>IFERROR(LEFT(INDEX('Teams Master'!$E$2:$E$14,MATCH($B25,'Teams Master'!$C$2:$C$14,0)),1),"")</f>
      </c>
      <c r="E25" s="700">
        <f>IFERROR(INDEX('Teams Master'!$F$2:$F$14,MATCH($B25,'Teams Master'!$C$2:$C$14,0)),"")</f>
      </c>
      <c r="F25" s="372">
        <f>IFERROR(INDEX('Teams Master'!$G$2:$G$14,MATCH($B25,'Teams Master'!$C$2:$C$14,0)),"")</f>
      </c>
      <c r="G25" s="11"/>
      <c r="I25" s="701">
        <f t="shared" ref="I25:I37" si="2">B25</f>
      </c>
      <c r="J25" s="702">
        <f>COUNTIF('Games Schedule'!$N$5:$O$5,Rankings!$I25)</f>
      </c>
      <c r="K25" s="702">
        <f>COUNTIF('Games Schedule'!$N$6:$O$11,Rankings!$I25)</f>
      </c>
      <c r="L25" s="702">
        <f>COUNTIF('Games Schedule'!$N$12:$O$24,Rankings!$I25)</f>
      </c>
      <c r="M25" s="702">
        <f>COUNTIF('Games Schedule'!$N$25:$O$26,Rankings!$I25)</f>
      </c>
      <c r="N25" s="703">
        <f t="shared" ref="N25:N37" si="3">SUM(J25:M25)</f>
      </c>
    </row>
    <row r="26" spans="1:14" ht="15.75" customHeight="1">
      <c r="B26" s="803">
        <f>'Teams Master'!C3</f>
      </c>
      <c r="C26" s="371">
        <f>IFERROR(INDEX('Teams Master'!$D$2:$D$14,MATCH($B26,'Teams Master'!$C$2:$C$14,0)),"")</f>
      </c>
      <c r="D26" s="371">
        <f>IFERROR(LEFT(INDEX('Teams Master'!$E$2:$E$14,MATCH($B26,'Teams Master'!$C$2:$C$14,0)),1),"")</f>
      </c>
      <c r="E26" s="700">
        <f>IFERROR(INDEX('Teams Master'!$F$2:$F$14,MATCH($B26,'Teams Master'!$C$2:$C$14,0)),"")</f>
      </c>
      <c r="F26" s="372">
        <f>IFERROR(INDEX('Teams Master'!$G$2:$G$14,MATCH($B26,'Teams Master'!$C$2:$C$14,0)),"")</f>
      </c>
      <c r="G26" s="11"/>
      <c r="I26" s="701">
        <f t="shared" si="2"/>
      </c>
      <c r="J26" s="702">
        <f>COUNTIF('Games Schedule'!$N$5:$O$5,Rankings!$I26)</f>
      </c>
      <c r="K26" s="702">
        <f>COUNTIF('Games Schedule'!$N$6:$O$11,Rankings!$I26)</f>
      </c>
      <c r="L26" s="702">
        <f>COUNTIF('Games Schedule'!$N$12:$O$24,Rankings!$I26)</f>
      </c>
      <c r="M26" s="702">
        <f>COUNTIF('Games Schedule'!$N$25:$O$26,Rankings!$I26)</f>
      </c>
      <c r="N26" s="703">
        <f t="shared" si="3"/>
      </c>
    </row>
    <row r="27" spans="1:14" ht="15.75" customHeight="1">
      <c r="B27" s="802">
        <f>'Teams Master'!C4</f>
      </c>
      <c r="C27" s="371">
        <f>IFERROR(INDEX('Teams Master'!$D$2:$D$14,MATCH($B27,'Teams Master'!$C$2:$C$14,0)),"")</f>
      </c>
      <c r="D27" s="371">
        <f>IFERROR(LEFT(INDEX('Teams Master'!$E$2:$E$14,MATCH($B27,'Teams Master'!$C$2:$C$14,0)),1),"")</f>
      </c>
      <c r="E27" s="700">
        <f>IFERROR(INDEX('Teams Master'!$F$2:$F$14,MATCH($B27,'Teams Master'!$C$2:$C$14,0)),"")</f>
      </c>
      <c r="F27" s="372">
        <f>IFERROR(INDEX('Teams Master'!$G$2:$G$14,MATCH($B27,'Teams Master'!$C$2:$C$14,0)),"")</f>
      </c>
      <c r="G27" s="11"/>
      <c r="I27" s="701">
        <f t="shared" si="2"/>
      </c>
      <c r="J27" s="702">
        <f>COUNTIF('Games Schedule'!$N$5:$O$5,Rankings!$I27)</f>
      </c>
      <c r="K27" s="702">
        <f>COUNTIF('Games Schedule'!$N$6:$O$11,Rankings!$I27)</f>
      </c>
      <c r="L27" s="702">
        <f>COUNTIF('Games Schedule'!$N$12:$O$24,Rankings!$I27)</f>
      </c>
      <c r="M27" s="702">
        <f>COUNTIF('Games Schedule'!$N$25:$O$26,Rankings!$I27)</f>
      </c>
      <c r="N27" s="703">
        <f t="shared" si="3"/>
      </c>
    </row>
    <row r="28" spans="1:14" ht="15.75" customHeight="1">
      <c r="B28" s="803">
        <f>'Teams Master'!C5</f>
      </c>
      <c r="C28" s="371">
        <f>IFERROR(INDEX('Teams Master'!$D$2:$D$14,MATCH($B28,'Teams Master'!$C$2:$C$14,0)),"")</f>
      </c>
      <c r="D28" s="371">
        <f>IFERROR(LEFT(INDEX('Teams Master'!$E$2:$E$14,MATCH($B28,'Teams Master'!$C$2:$C$14,0)),1),"")</f>
      </c>
      <c r="E28" s="700">
        <f>IFERROR(INDEX('Teams Master'!$F$2:$F$14,MATCH($B28,'Teams Master'!$C$2:$C$14,0)),"")</f>
      </c>
      <c r="F28" s="372">
        <f>IFERROR(INDEX('Teams Master'!$G$2:$G$14,MATCH($B28,'Teams Master'!$C$2:$C$14,0)),"")</f>
      </c>
      <c r="G28" s="11"/>
      <c r="I28" s="701">
        <f t="shared" si="2"/>
      </c>
      <c r="J28" s="702">
        <f>COUNTIF('Games Schedule'!$N$5:$O$5,Rankings!$I28)</f>
      </c>
      <c r="K28" s="702">
        <f>COUNTIF('Games Schedule'!$N$6:$O$11,Rankings!$I28)</f>
      </c>
      <c r="L28" s="702">
        <f>COUNTIF('Games Schedule'!$N$12:$O$24,Rankings!$I28)</f>
      </c>
      <c r="M28" s="702">
        <f>COUNTIF('Games Schedule'!$N$25:$O$26,Rankings!$I28)</f>
      </c>
      <c r="N28" s="703">
        <f t="shared" si="3"/>
      </c>
    </row>
    <row r="29" spans="1:14" ht="15.75" customHeight="1">
      <c r="B29" s="802">
        <f>'Teams Master'!C6</f>
      </c>
      <c r="C29" s="371">
        <f>IFERROR(INDEX('Teams Master'!$D$2:$D$14,MATCH($B29,'Teams Master'!$C$2:$C$14,0)),"")</f>
      </c>
      <c r="D29" s="371">
        <f>IFERROR(LEFT(INDEX('Teams Master'!$E$2:$E$14,MATCH($B29,'Teams Master'!$C$2:$C$14,0)),1),"")</f>
      </c>
      <c r="E29" s="700">
        <f>IFERROR(INDEX('Teams Master'!$F$2:$F$14,MATCH($B29,'Teams Master'!$C$2:$C$14,0)),"")</f>
      </c>
      <c r="F29" s="372">
        <f>IFERROR(INDEX('Teams Master'!$G$2:$G$14,MATCH($B29,'Teams Master'!$C$2:$C$14,0)),"")</f>
      </c>
      <c r="G29" s="11"/>
      <c r="I29" s="701">
        <f t="shared" si="2"/>
      </c>
      <c r="J29" s="702">
        <f>COUNTIF('Games Schedule'!$N$5:$O$5,Rankings!$I29)</f>
      </c>
      <c r="K29" s="702">
        <f>COUNTIF('Games Schedule'!$N$6:$O$11,Rankings!$I29)</f>
      </c>
      <c r="L29" s="702">
        <f>COUNTIF('Games Schedule'!$N$12:$O$24,Rankings!$I29)</f>
      </c>
      <c r="M29" s="702">
        <f>COUNTIF('Games Schedule'!$N$25:$O$26,Rankings!$I29)</f>
      </c>
      <c r="N29" s="703">
        <f t="shared" si="3"/>
      </c>
    </row>
    <row r="30" spans="1:14" ht="15.75" customHeight="1">
      <c r="B30" s="803">
        <f>'Teams Master'!C7</f>
      </c>
      <c r="C30" s="371">
        <f>IFERROR(INDEX('Teams Master'!$D$2:$D$14,MATCH($B30,'Teams Master'!$C$2:$C$14,0)),"")</f>
      </c>
      <c r="D30" s="371">
        <f>IFERROR(LEFT(INDEX('Teams Master'!$E$2:$E$14,MATCH($B30,'Teams Master'!$C$2:$C$14,0)),1),"")</f>
      </c>
      <c r="E30" s="700">
        <f>IFERROR(INDEX('Teams Master'!$F$2:$F$14,MATCH($B30,'Teams Master'!$C$2:$C$14,0)),"")</f>
      </c>
      <c r="F30" s="372">
        <f>IFERROR(INDEX('Teams Master'!$G$2:$G$14,MATCH($B30,'Teams Master'!$C$2:$C$14,0)),"")</f>
      </c>
      <c r="G30" s="11"/>
      <c r="I30" s="701">
        <f t="shared" si="2"/>
      </c>
      <c r="J30" s="702">
        <f>COUNTIF('Games Schedule'!$N$5:$O$5,Rankings!$I30)</f>
      </c>
      <c r="K30" s="702">
        <f>COUNTIF('Games Schedule'!$N$6:$O$11,Rankings!$I30)</f>
      </c>
      <c r="L30" s="702">
        <f>COUNTIF('Games Schedule'!$N$12:$O$24,Rankings!$I30)</f>
      </c>
      <c r="M30" s="702">
        <f>COUNTIF('Games Schedule'!$N$25:$O$26,Rankings!$I30)</f>
      </c>
      <c r="N30" s="703">
        <f t="shared" si="3"/>
      </c>
    </row>
    <row r="31" spans="1:14" ht="15.75" customHeight="1">
      <c r="B31" s="802">
        <f>'Teams Master'!C8</f>
      </c>
      <c r="C31" s="371">
        <f>IFERROR(INDEX('Teams Master'!$D$2:$D$14,MATCH($B31,'Teams Master'!$C$2:$C$14,0)),"")</f>
      </c>
      <c r="D31" s="371">
        <f>IFERROR(LEFT(INDEX('Teams Master'!$E$2:$E$14,MATCH($B31,'Teams Master'!$C$2:$C$14,0)),1),"")</f>
      </c>
      <c r="E31" s="700">
        <f>IFERROR(INDEX('Teams Master'!$F$2:$F$14,MATCH($B31,'Teams Master'!$C$2:$C$14,0)),"")</f>
      </c>
      <c r="F31" s="372">
        <f>IFERROR(INDEX('Teams Master'!$G$2:$G$14,MATCH($B31,'Teams Master'!$C$2:$C$14,0)),"")</f>
      </c>
      <c r="G31" s="11"/>
      <c r="I31" s="701">
        <f t="shared" si="2"/>
      </c>
      <c r="J31" s="702">
        <f>COUNTIF('Games Schedule'!$N$5:$O$5,Rankings!$I31)</f>
      </c>
      <c r="K31" s="702">
        <f>COUNTIF('Games Schedule'!$N$6:$O$11,Rankings!$I31)</f>
      </c>
      <c r="L31" s="702">
        <f>COUNTIF('Games Schedule'!$N$12:$O$24,Rankings!$I31)</f>
      </c>
      <c r="M31" s="702">
        <f>COUNTIF('Games Schedule'!$N$25:$O$26,Rankings!$I31)</f>
      </c>
      <c r="N31" s="703">
        <f t="shared" si="3"/>
      </c>
    </row>
    <row r="32" spans="1:14" ht="15.75" customHeight="1">
      <c r="B32" s="803">
        <f>'Teams Master'!C9</f>
      </c>
      <c r="C32" s="371">
        <f>IFERROR(INDEX('Teams Master'!$D$2:$D$14,MATCH($B32,'Teams Master'!$C$2:$C$14,0)),"")</f>
      </c>
      <c r="D32" s="371">
        <f>IFERROR(LEFT(INDEX('Teams Master'!$E$2:$E$14,MATCH($B32,'Teams Master'!$C$2:$C$14,0)),1),"")</f>
      </c>
      <c r="E32" s="700">
        <f>IFERROR(INDEX('Teams Master'!$F$2:$F$14,MATCH($B32,'Teams Master'!$C$2:$C$14,0)),"")</f>
      </c>
      <c r="F32" s="372">
        <f>IFERROR(INDEX('Teams Master'!$G$2:$G$14,MATCH($B32,'Teams Master'!$C$2:$C$14,0)),"")</f>
      </c>
      <c r="G32" s="11"/>
      <c r="I32" s="701">
        <f t="shared" si="2"/>
      </c>
      <c r="J32" s="702">
        <f>COUNTIF('Games Schedule'!$N$5:$O$5,Rankings!$I32)</f>
      </c>
      <c r="K32" s="702">
        <f>COUNTIF('Games Schedule'!$N$6:$O$11,Rankings!$I32)</f>
      </c>
      <c r="L32" s="702">
        <f>COUNTIF('Games Schedule'!$N$12:$O$24,Rankings!$I32)</f>
      </c>
      <c r="M32" s="702">
        <f>COUNTIF('Games Schedule'!$N$25:$O$26,Rankings!$I32)</f>
      </c>
      <c r="N32" s="703">
        <f t="shared" si="3"/>
      </c>
    </row>
    <row r="33" spans="2:14" ht="15.75" customHeight="1">
      <c r="B33" s="802">
        <f>'Teams Master'!C10</f>
      </c>
      <c r="C33" s="371">
        <f>IFERROR(INDEX('Teams Master'!$D$2:$D$14,MATCH($B33,'Teams Master'!$C$2:$C$14,0)),"")</f>
      </c>
      <c r="D33" s="371">
        <f>IFERROR(LEFT(INDEX('Teams Master'!$E$2:$E$14,MATCH($B33,'Teams Master'!$C$2:$C$14,0)),1),"")</f>
      </c>
      <c r="E33" s="700">
        <f>IFERROR(INDEX('Teams Master'!$F$2:$F$14,MATCH($B33,'Teams Master'!$C$2:$C$14,0)),"")</f>
      </c>
      <c r="F33" s="372">
        <f>IFERROR(INDEX('Teams Master'!$G$2:$G$14,MATCH($B33,'Teams Master'!$C$2:$C$14,0)),"")</f>
      </c>
      <c r="G33" s="11"/>
      <c r="I33" s="701">
        <f t="shared" si="2"/>
      </c>
      <c r="J33" s="702">
        <f>COUNTIF('Games Schedule'!$N$5:$O$5,Rankings!$I33)</f>
      </c>
      <c r="K33" s="702">
        <f>COUNTIF('Games Schedule'!$N$6:$O$11,Rankings!$I33)</f>
      </c>
      <c r="L33" s="702">
        <f>COUNTIF('Games Schedule'!$N$12:$O$24,Rankings!$I33)</f>
      </c>
      <c r="M33" s="702">
        <f>COUNTIF('Games Schedule'!$N$25:$O$26,Rankings!$I33)</f>
      </c>
      <c r="N33" s="703">
        <f t="shared" si="3"/>
      </c>
    </row>
    <row r="34" spans="2:14" ht="15.75" customHeight="1">
      <c r="B34" s="803">
        <f>'Teams Master'!C11</f>
      </c>
      <c r="C34" s="371">
        <f>IFERROR(INDEX('Teams Master'!$D$2:$D$14,MATCH($B34,'Teams Master'!$C$2:$C$14,0)),"")</f>
      </c>
      <c r="D34" s="371">
        <f>IFERROR(LEFT(INDEX('Teams Master'!$E$2:$E$14,MATCH($B34,'Teams Master'!$C$2:$C$14,0)),1),"")</f>
      </c>
      <c r="E34" s="700">
        <f>IFERROR(INDEX('Teams Master'!$F$2:$F$14,MATCH($B34,'Teams Master'!$C$2:$C$14,0)),"")</f>
      </c>
      <c r="F34" s="372">
        <f>IFERROR(INDEX('Teams Master'!$G$2:$G$14,MATCH($B34,'Teams Master'!$C$2:$C$14,0)),"")</f>
      </c>
      <c r="G34" s="11"/>
      <c r="I34" s="701">
        <f t="shared" si="2"/>
      </c>
      <c r="J34" s="702">
        <f>COUNTIF('Games Schedule'!$N$5:$O$5,Rankings!$I34)</f>
      </c>
      <c r="K34" s="702">
        <f>COUNTIF('Games Schedule'!$N$6:$O$11,Rankings!$I34)</f>
      </c>
      <c r="L34" s="702">
        <f>COUNTIF('Games Schedule'!$N$12:$O$24,Rankings!$I34)</f>
      </c>
      <c r="M34" s="702">
        <f>COUNTIF('Games Schedule'!$N$25:$O$26,Rankings!$I34)</f>
      </c>
      <c r="N34" s="703">
        <f t="shared" si="3"/>
      </c>
    </row>
    <row r="35" spans="2:14" ht="15.75" customHeight="1">
      <c r="B35" s="802">
        <f>'Teams Master'!C12</f>
      </c>
      <c r="C35" s="371">
        <f>IFERROR(INDEX('Teams Master'!$D$2:$D$14,MATCH($B35,'Teams Master'!$C$2:$C$14,0)),"")</f>
      </c>
      <c r="D35" s="371">
        <f>IFERROR(LEFT(INDEX('Teams Master'!$E$2:$E$14,MATCH($B35,'Teams Master'!$C$2:$C$14,0)),1),"")</f>
      </c>
      <c r="E35" s="700">
        <f>IFERROR(INDEX('Teams Master'!$F$2:$F$14,MATCH($B35,'Teams Master'!$C$2:$C$14,0)),"")</f>
      </c>
      <c r="F35" s="372">
        <f>IFERROR(INDEX('Teams Master'!$G$2:$G$14,MATCH($B35,'Teams Master'!$C$2:$C$14,0)),"")</f>
      </c>
      <c r="G35" s="11"/>
      <c r="I35" s="701">
        <f t="shared" si="2"/>
      </c>
      <c r="J35" s="702">
        <f>COUNTIF('Games Schedule'!$N$5:$O$5,Rankings!$I35)</f>
      </c>
      <c r="K35" s="702">
        <f>COUNTIF('Games Schedule'!$N$6:$O$11,Rankings!$I35)</f>
      </c>
      <c r="L35" s="702">
        <f>COUNTIF('Games Schedule'!$N$12:$O$24,Rankings!$I35)</f>
      </c>
      <c r="M35" s="702">
        <f>COUNTIF('Games Schedule'!$N$25:$O$26,Rankings!$I35)</f>
      </c>
      <c r="N35" s="703">
        <f t="shared" si="3"/>
      </c>
    </row>
    <row r="36" spans="2:14" ht="15.75" customHeight="1">
      <c r="B36" s="803">
        <f>'Teams Master'!C13</f>
      </c>
      <c r="C36" s="617">
        <f>IFERROR(INDEX('Teams Master'!$D$2:$D$14,MATCH($B36,'Teams Master'!$C$2:$C$14,0)),"")</f>
      </c>
      <c r="D36" s="371">
        <f>IFERROR(LEFT(INDEX('Teams Master'!$E$2:$E$14,MATCH($B36,'Teams Master'!$C$2:$C$14,0)),1),"")</f>
      </c>
      <c r="E36" s="700">
        <f>IFERROR(INDEX('Teams Master'!$F$2:$F$14,MATCH($B36,'Teams Master'!$C$2:$C$14,0)),"")</f>
      </c>
      <c r="F36" s="372">
        <f>IFERROR(INDEX('Teams Master'!$G$2:$G$14,MATCH($B36,'Teams Master'!$C$2:$C$14,0)),"")</f>
      </c>
      <c r="G36" s="11"/>
      <c r="I36" s="701">
        <f t="shared" si="2"/>
      </c>
      <c r="J36" s="702">
        <f>COUNTIF('Games Schedule'!$N$5:$O$5,Rankings!$I36)</f>
      </c>
      <c r="K36" s="702">
        <f>COUNTIF('Games Schedule'!$N$6:$O$11,Rankings!$I36)</f>
      </c>
      <c r="L36" s="702">
        <f>COUNTIF('Games Schedule'!$N$12:$O$24,Rankings!$I36)</f>
      </c>
      <c r="M36" s="702">
        <f>COUNTIF('Games Schedule'!$N$25:$O$26,Rankings!$I36)</f>
      </c>
      <c r="N36" s="703">
        <f t="shared" si="3"/>
      </c>
    </row>
    <row r="37" spans="2:14" ht="15.75" customHeight="1" thickBot="1">
      <c r="B37" s="804">
        <f>'Teams Master'!C14</f>
      </c>
      <c r="C37" s="371">
        <f>IFERROR(INDEX('Teams Master'!$D$2:$D$14,MATCH($B37,'Teams Master'!$C$2:$C$14,0)),"")</f>
      </c>
      <c r="D37" s="371">
        <f>IFERROR(LEFT(INDEX('Teams Master'!$E$2:$E$14,MATCH($B37,'Teams Master'!$C$2:$C$14,0)),1),"")</f>
      </c>
      <c r="E37" s="700">
        <f>IFERROR(INDEX('Teams Master'!$F$2:$F$14,MATCH($B37,'Teams Master'!$C$2:$C$14,0)),"")</f>
      </c>
      <c r="F37" s="372">
        <f>IFERROR(INDEX('Teams Master'!$G$2:$G$14,MATCH($B37,'Teams Master'!$C$2:$C$14,0)),"")</f>
      </c>
      <c r="G37" s="11"/>
      <c r="I37" s="701">
        <f t="shared" si="2"/>
      </c>
      <c r="J37" s="702">
        <f>COUNTIF('Games Schedule'!$N$5:$O$5,Rankings!$I37)</f>
      </c>
      <c r="K37" s="702">
        <f>COUNTIF('Games Schedule'!$N$6:$O$11,Rankings!$I37)</f>
      </c>
      <c r="L37" s="702">
        <f>COUNTIF('Games Schedule'!$N$12:$O$24,Rankings!$I37)</f>
      </c>
      <c r="M37" s="702">
        <f>COUNTIF('Games Schedule'!$N$25:$O$26,Rankings!$I37)</f>
      </c>
      <c r="N37" s="703">
        <f t="shared" si="3"/>
      </c>
    </row>
    <row r="38" spans="2:14" ht="15.75" customHeight="1"/>
    <row r="39" spans="2:14" ht="15.75" customHeight="1"/>
    <row r="40" spans="2:14" ht="15.75" customHeight="1">
      <c r="B40" s="6" t="s">
        <v>932</v>
      </c>
      <c r="C40" s="7"/>
    </row>
    <row r="41" spans="2:14" ht="15.75" customHeight="1">
      <c r="B41" s="687" t="s">
        <v>104</v>
      </c>
      <c r="C41" s="704">
        <f>SUM(D3:D6)-'Games Schedule'!C48</f>
      </c>
    </row>
    <row r="42" spans="2:14" ht="15.75" customHeight="1">
      <c r="B42" s="687" t="s">
        <v>105</v>
      </c>
      <c r="C42" s="704">
        <f>SUM(D10:D13)-'Games Schedule'!C49</f>
      </c>
    </row>
    <row r="43" spans="2:14" ht="15.75" customHeight="1">
      <c r="B43" s="689" t="s">
        <v>107</v>
      </c>
      <c r="C43" s="705">
        <f>SUM(D17:D21)-'Games Schedule'!C50</f>
      </c>
    </row>
    <row r="44" spans="2:14" ht="15.75" customHeight="1"/>
    <row r="45" spans="2:14" ht="15.75" customHeight="1"/>
    <row r="46" spans="2:14" ht="15.75" customHeight="1"/>
    <row r="47" spans="2:14" ht="15.75" customHeight="1"/>
    <row r="48" spans="2: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I23:N23"/>
  </mergeCells>
  <conditionalFormatting sqref="C41:C43">
    <cfRule type="cellIs" dxfId="3" priority="1" operator="notEqual">
      <formula>0</formula>
    </cfRule>
    <cfRule type="cellIs" dxfId="2" priority="2" operator="equal">
      <formula>0</formula>
    </cfRule>
  </conditionalFormatting>
  <conditionalFormatting sqref="K3:K6">
    <cfRule type="dataBar" priority="5">
      <dataBar>
        <cfvo type="min"/>
        <cfvo type="max"/>
        <color rgb="FF638EC6"/>
      </dataBar>
      <extLst>
        <ext xmlns:x14="http://schemas.microsoft.com/office/spreadsheetml/2009/9/main" uri="{B025F937-C7B1-47D3-B67F-A62EFF666E3E}">
          <x14:id>{7CD39481-F024-495F-9DAD-AE793261AE31}</x14:id>
        </ext>
      </extLst>
    </cfRule>
  </conditionalFormatting>
  <conditionalFormatting sqref="K10:K13">
    <cfRule type="dataBar" priority="6">
      <dataBar>
        <cfvo type="min"/>
        <cfvo type="max"/>
        <color rgb="FF638EC6"/>
      </dataBar>
      <extLst>
        <ext xmlns:x14="http://schemas.microsoft.com/office/spreadsheetml/2009/9/main" uri="{B025F937-C7B1-47D3-B67F-A62EFF666E3E}">
          <x14:id>{97DB2094-5356-4725-B497-A82231A170CC}</x14:id>
        </ext>
      </extLst>
    </cfRule>
  </conditionalFormatting>
  <conditionalFormatting sqref="K17:K22">
    <cfRule type="dataBar" priority="7">
      <dataBar>
        <cfvo type="min"/>
        <cfvo type="max"/>
        <color rgb="FF638EC6"/>
      </dataBar>
      <extLst>
        <ext xmlns:x14="http://schemas.microsoft.com/office/spreadsheetml/2009/9/main" uri="{B025F937-C7B1-47D3-B67F-A62EFF666E3E}">
          <x14:id>{85A58BA9-ABE3-4B35-99FD-2CE37F48E509}</x14:id>
        </ext>
      </extLst>
    </cfRule>
  </conditionalFormatting>
  <conditionalFormatting sqref="K25:K37">
    <cfRule type="cellIs" dxfId="1" priority="3" operator="greaterThan">
      <formula>1</formula>
    </cfRule>
  </conditionalFormatting>
  <conditionalFormatting sqref="L25:L37">
    <cfRule type="cellIs" dxfId="0" priority="4" operator="greaterThan">
      <formula>2</formula>
    </cfRule>
  </conditionalFormatting>
  <pageMargins left="0.7" right="0.7" top="0.75" bottom="0.75" header="0" footer="0"/>
  <pageSetup orientation="landscape"/>
  <legacyDrawing r:id="rId1"/>
  <extLst>
    <ext xmlns:x14="http://schemas.microsoft.com/office/spreadsheetml/2009/9/main" uri="{78C0D931-6437-407d-A8EE-F0AAD7539E65}">
      <x14:conditionalFormattings>
        <x14:conditionalFormatting xmlns:xm="http://schemas.microsoft.com/office/excel/2006/main">
          <x14:cfRule type="dataBar" id="{7CD39481-F024-495F-9DAD-AE793261AE31}">
            <x14:dataBar minLength="0" maxLength="100" direction="leftToRight" negativeBarColorSameAsPositive="1" axisPosition="none">
              <x14:cfvo type="min"/>
              <x14:cfvo type="max"/>
            </x14:dataBar>
          </x14:cfRule>
          <xm:sqref>K3:K6</xm:sqref>
        </x14:conditionalFormatting>
        <x14:conditionalFormatting xmlns:xm="http://schemas.microsoft.com/office/excel/2006/main">
          <x14:cfRule type="dataBar" id="{97DB2094-5356-4725-B497-A82231A170CC}">
            <x14:dataBar minLength="0" maxLength="100" direction="leftToRight" negativeBarColorSameAsPositive="1" axisPosition="none">
              <x14:cfvo type="min"/>
              <x14:cfvo type="max"/>
            </x14:dataBar>
          </x14:cfRule>
          <xm:sqref>K10:K13</xm:sqref>
        </x14:conditionalFormatting>
        <x14:conditionalFormatting xmlns:xm="http://schemas.microsoft.com/office/excel/2006/main">
          <x14:cfRule type="dataBar" id="{85A58BA9-ABE3-4B35-99FD-2CE37F48E509}">
            <x14:dataBar minLength="0" maxLength="100" direction="leftToRight" negativeBarColorSameAsPositive="1" axisPosition="none">
              <x14:cfvo type="min"/>
              <x14:cfvo type="max"/>
            </x14:dataBar>
          </x14:cfRule>
          <xm:sqref>K17:K22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6BFCA7A1-3067-4883-B821-6C8C08AA15C2}">
          <x14:formula1>
            <xm:f>'Teams Master'!$C$2:$C$14</xm:f>
          </x14:formula1>
          <xm:sqref>B25:B37</xm:sqref>
        </x14:dataValidation>
      </x14:dataValidation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9D18E"/>
  </sheetPr>
  <dimension ref="B1:I1000"/>
  <sheetViews>
    <sheetView showGridLines="0" workbookViewId="0">
      <selection activeCell="H6" sqref="H6"/>
    </sheetView>
  </sheetViews>
  <sheetFormatPr defaultColWidth="14.44140625" defaultRowHeight="15" customHeight="1"/>
  <cols>
    <col min="1" max="1" width="8.6640625" customWidth="1"/>
    <col min="2" max="2" width="16.6640625" customWidth="1"/>
    <col min="3" max="3" width="25.88671875" customWidth="1"/>
    <col min="4" max="4" width="18" bestFit="1" customWidth="1"/>
    <col min="5" max="5" width="18.5546875" customWidth="1"/>
    <col min="6" max="6" width="37" customWidth="1"/>
    <col min="7" max="7" width="2.6640625" customWidth="1"/>
    <col min="8" max="8" width="18.5546875" customWidth="1"/>
    <col min="9" max="9" width="25.88671875" customWidth="1"/>
    <col min="10" max="26" width="8.6640625" customWidth="1"/>
  </cols>
  <sheetData>
    <row r="1" spans="2:9" ht="14.25" customHeight="1"/>
    <row r="2" spans="2:9" ht="30" customHeight="1">
      <c r="B2" s="831" t="s">
        <v>933</v>
      </c>
      <c r="C2" s="831"/>
      <c r="E2" s="832" t="s">
        <v>934</v>
      </c>
      <c r="F2" s="832"/>
    </row>
    <row r="3" spans="2:9" ht="10.5" customHeight="1">
      <c r="B3" s="805" t="s">
        <v>935</v>
      </c>
    </row>
    <row r="4" spans="2:9" ht="14.25" customHeight="1">
      <c r="B4" s="833" t="s">
        <v>936</v>
      </c>
      <c r="C4" s="833"/>
      <c r="E4" s="830" t="s">
        <v>937</v>
      </c>
      <c r="F4" s="830"/>
    </row>
    <row r="5" spans="2:9" ht="14.25" customHeight="1">
      <c r="B5" s="50" t="s">
        <v>938</v>
      </c>
      <c r="C5" s="197">
        <f t="shared" ref="C5:C12" si="0">I20</f>
      </c>
      <c r="E5" s="23" t="s">
        <v>939</v>
      </c>
      <c r="F5" s="373">
        <f>IFERROR(IF('MVP Voting'!B102&lt;&gt;"",'MVP Voting'!B102&amp;" ("&amp;'MVP Voting'!C102&amp;")","No votes yet"),"No votes yet")</f>
      </c>
    </row>
    <row r="6" spans="2:9" ht="14.25" customHeight="1">
      <c r="B6" s="51" t="s">
        <v>940</v>
      </c>
      <c r="C6" s="198">
        <f t="shared" si="0"/>
      </c>
      <c r="E6" s="23" t="s">
        <v>941</v>
      </c>
      <c r="F6" s="373">
        <f>IFERROR(IF('MVP Voting'!B104&lt;&gt;"",'MVP Voting'!B104&amp;" ("&amp;'MVP Voting'!C104&amp;")","No votes yet"),"No votes yet")</f>
      </c>
    </row>
    <row r="7" spans="2:9" ht="14.25" customHeight="1">
      <c r="B7" s="52" t="s">
        <v>942</v>
      </c>
      <c r="C7" s="199">
        <f t="shared" si="0"/>
      </c>
      <c r="E7" s="23" t="s">
        <v>943</v>
      </c>
      <c r="F7" s="373">
        <f>IFERROR('Stats &amp; MVP'!B6&amp;" ("&amp;'Stats &amp; MVP'!C6&amp;")","")</f>
      </c>
    </row>
    <row r="8" spans="2:9" ht="14.25" customHeight="1">
      <c r="B8" s="22" t="s">
        <v>944</v>
      </c>
      <c r="C8" s="200">
        <f t="shared" si="0"/>
      </c>
      <c r="E8" s="23" t="s">
        <v>945</v>
      </c>
      <c r="F8" s="373">
        <f>IFERROR('Stats &amp; MVP'!D6&amp;" Goals","")</f>
      </c>
    </row>
    <row r="9" spans="2:9" ht="14.25" customHeight="1">
      <c r="B9" s="23" t="s">
        <v>946</v>
      </c>
      <c r="C9" s="196">
        <f t="shared" si="0"/>
      </c>
    </row>
    <row r="10" spans="2:9" ht="14.25" customHeight="1">
      <c r="B10" s="22" t="s">
        <v>947</v>
      </c>
      <c r="C10" s="200">
        <f t="shared" si="0"/>
      </c>
    </row>
    <row r="11" spans="2:9" ht="14.25" customHeight="1">
      <c r="B11" s="23" t="s">
        <v>948</v>
      </c>
      <c r="C11" s="196">
        <f t="shared" si="0"/>
      </c>
    </row>
    <row r="12" spans="2:9" ht="14.25" customHeight="1">
      <c r="B12" s="22" t="s">
        <v>949</v>
      </c>
      <c r="C12" s="200">
        <f t="shared" si="0"/>
      </c>
    </row>
    <row r="13" spans="2:9" ht="11.25" customHeight="1"/>
    <row r="14" spans="2:9" ht="14.25" customHeight="1">
      <c r="B14" s="830" t="s">
        <v>950</v>
      </c>
      <c r="C14" s="830"/>
      <c r="E14" s="830" t="s">
        <v>951</v>
      </c>
      <c r="F14" s="830"/>
    </row>
    <row r="15" spans="2:9" ht="14.25" customHeight="1">
      <c r="B15" s="50" t="s">
        <v>938</v>
      </c>
      <c r="C15" s="197">
        <f t="shared" ref="C15:C20" si="1">I30</f>
      </c>
      <c r="E15" s="23" t="s">
        <v>939</v>
      </c>
      <c r="F15" s="373">
        <f>IFERROR(IF('MVP Voting'!B103&lt;&gt;"",'MVP Voting'!B103&amp;" ("&amp;'MVP Voting'!C103&amp;")","No votes yet"),"No votes yet")</f>
      </c>
    </row>
    <row r="16" spans="2:9" ht="14.25" customHeight="1">
      <c r="B16" s="51" t="s">
        <v>940</v>
      </c>
      <c r="C16" s="198">
        <f t="shared" si="1"/>
      </c>
      <c r="E16" s="23" t="s">
        <v>941</v>
      </c>
      <c r="F16" s="373">
        <f>IFERROR(IF('MVP Voting'!B105&lt;&gt;"",'MVP Voting'!B105&amp;" ("&amp;'MVP Voting'!C105&amp;")","No votes yet"),"No votes yet")</f>
      </c>
      <c r="H16" s="833" t="s">
        <v>952</v>
      </c>
      <c r="I16" s="833"/>
    </row>
    <row r="17" spans="2:9" ht="14.25" customHeight="1">
      <c r="B17" s="52" t="s">
        <v>942</v>
      </c>
      <c r="C17" s="199">
        <f t="shared" si="1"/>
      </c>
      <c r="E17" s="23" t="s">
        <v>943</v>
      </c>
      <c r="F17" s="373">
        <f>IFERROR('Stats &amp; MVP'!B15&amp;" ("&amp;'Stats &amp; MVP'!C15&amp;")","")</f>
      </c>
      <c r="H17" s="834" t="s">
        <v>953</v>
      </c>
      <c r="I17" s="835"/>
    </row>
    <row r="18" spans="2:9" ht="14.25" customHeight="1">
      <c r="B18" s="22" t="s">
        <v>944</v>
      </c>
      <c r="C18" s="200">
        <f t="shared" si="1"/>
      </c>
      <c r="E18" s="23" t="s">
        <v>945</v>
      </c>
      <c r="F18" s="373">
        <f>IFERROR('Stats &amp; MVP'!D15&amp;" Goals","")</f>
      </c>
    </row>
    <row r="19" spans="2:9" ht="14.25" customHeight="1">
      <c r="B19" s="23" t="s">
        <v>946</v>
      </c>
      <c r="C19" s="196">
        <f t="shared" si="1"/>
      </c>
      <c r="H19" s="830" t="s">
        <v>954</v>
      </c>
      <c r="I19" s="830"/>
    </row>
    <row r="20" spans="2:9" ht="14.25" customHeight="1">
      <c r="B20" s="194" t="s">
        <v>947</v>
      </c>
      <c r="C20" s="194">
        <f t="shared" si="1"/>
      </c>
      <c r="H20" s="53" t="s">
        <v>955</v>
      </c>
      <c r="I20" s="337" cm="1">
        <f t="array" ref="I20">IF(COUNTIFS('Games Schedule'!$I$5:$I$31,"M",'Games Schedule'!$J$5:$J$31,"P",'Games Schedule'!$K$5:$K$31,1,'Games Schedule'!$S$5:$S$31,"&lt;&gt;",'Games Schedule'!$T$5:$T$31,"&lt;&gt;")=0,"",IFERROR(INDEX(IF('Games Schedule'!$S$5:$S$31&gt;'Games Schedule'!$T$5:$T$31,'Games Schedule'!$N$5:$N$31,'Games Schedule'!$O$5:$O$31),MATCH(1,('Games Schedule'!$I$5:$I$31="M")*('Games Schedule'!$J$5:$J$31="P")*('Games Schedule'!$K$5:$K$31=1),0)),""))</f>
      </c>
    </row>
    <row r="21" spans="2:9" ht="14.25" customHeight="1">
      <c r="B21" s="833" t="s">
        <v>956</v>
      </c>
      <c r="C21" s="833"/>
      <c r="D21" s="833"/>
      <c r="E21" s="833"/>
      <c r="F21" s="833"/>
      <c r="H21" s="53" t="s">
        <v>957</v>
      </c>
      <c r="I21" s="337" cm="1">
        <f t="array" ref="I21">IF(COUNTIFS('Games Schedule'!$I$5:$I$31,"M",'Games Schedule'!$J$5:$J$31,"P",'Games Schedule'!$K$5:$K$31,1,'Games Schedule'!$S$5:$S$31,"&lt;&gt;",'Games Schedule'!$T$5:$T$31,"&lt;&gt;")=0,"",IFERROR(INDEX(IF('Games Schedule'!$S$5:$S$31&gt;'Games Schedule'!$T$5:$T$31,'Games Schedule'!$O$5:$O$31,'Games Schedule'!$N$5:$N$31),MATCH(1,('Games Schedule'!$I$5:$I$31="M")*('Games Schedule'!$J$5:$J$31="P")*('Games Schedule'!$K$5:$K$31=1),0)),""))</f>
      </c>
    </row>
    <row r="22" spans="2:9" ht="14.25" customHeight="1">
      <c r="H22" s="53" t="s">
        <v>958</v>
      </c>
      <c r="I22" s="337" cm="1">
        <f t="array" ref="I22">IF(COUNTIFS('Games Schedule'!$I$5:$I$31,"M",'Games Schedule'!$J$5:$J$31,"P",'Games Schedule'!$K$5:$K$31,3,'Games Schedule'!$S$5:$S$31,"&lt;&gt;",'Games Schedule'!$T$5:$T$31,"&lt;&gt;")=0,"",IFERROR(INDEX(IF('Games Schedule'!$S$5:$S$31&gt;'Games Schedule'!$T$5:$T$31,'Games Schedule'!$N$5:$N$31,'Games Schedule'!$O$5:$O$31),MATCH(1,('Games Schedule'!$I$5:$I$31="M")*('Games Schedule'!$J$5:$J$31="P")*('Games Schedule'!$K$5:$K$31=3),0)),""))</f>
      </c>
    </row>
    <row r="23" spans="2:9" ht="14.25" customHeight="1">
      <c r="B23" s="830" t="s">
        <v>104</v>
      </c>
      <c r="C23" s="830"/>
      <c r="D23" s="830" t="s">
        <v>105</v>
      </c>
      <c r="E23" s="830"/>
      <c r="H23" s="53" t="s">
        <v>959</v>
      </c>
      <c r="I23" s="337" cm="1">
        <f t="array" ref="I23">IF(COUNTIFS('Games Schedule'!$I$5:$I$31,"M",'Games Schedule'!$J$5:$J$31,"P",'Games Schedule'!$K$5:$K$31,3,'Games Schedule'!$S$5:$S$31,"&lt;&gt;",'Games Schedule'!$T$5:$T$31,"&lt;&gt;")=0,"",IFERROR(INDEX(IF('Games Schedule'!$S$5:$S$31&gt;'Games Schedule'!$T$5:$T$31,'Games Schedule'!$O$5:$O$31,'Games Schedule'!$N$5:$N$31),MATCH(1,('Games Schedule'!$I$5:$I$31="M")*('Games Schedule'!$J$5:$J$31="P")*('Games Schedule'!$K$5:$K$31=3),0)),""))</f>
      </c>
    </row>
    <row r="24" spans="2:9" ht="14.25" customHeight="1">
      <c r="B24" s="24" t="s">
        <v>444</v>
      </c>
      <c r="C24" s="24" t="s">
        <v>919</v>
      </c>
      <c r="D24" s="24" t="s">
        <v>444</v>
      </c>
      <c r="E24" s="24" t="s">
        <v>919</v>
      </c>
      <c r="H24" s="53" t="s">
        <v>960</v>
      </c>
      <c r="I24" s="337" cm="1">
        <f t="array" ref="I24">IF(COUNTIFS('Games Schedule'!$I$5:$I$31,"M",'Games Schedule'!$J$5:$J$31,"P",'Games Schedule'!$K$5:$K$31,5,'Games Schedule'!$S$5:$S$31,"&lt;&gt;",'Games Schedule'!$T$5:$T$31,"&lt;&gt;")=0,"",IFERROR(INDEX(IF('Games Schedule'!$S$5:$S$31&gt;'Games Schedule'!$T$5:$T$31,'Games Schedule'!$N$5:$N$31,'Games Schedule'!$O$5:$O$31),MATCH(1,('Games Schedule'!$I$5:$I$31="M")*('Games Schedule'!$J$5:$J$31="P")*('Games Schedule'!$K$5:$K$31=5),0)),""))</f>
      </c>
    </row>
    <row r="25" spans="2:9" ht="14.25" customHeight="1">
      <c r="B25" s="374">
        <f>Rankings!B3</f>
      </c>
      <c r="C25" s="374">
        <f>Rankings!C3</f>
      </c>
      <c r="D25" s="374">
        <f>Rankings!B10</f>
      </c>
      <c r="E25" s="374">
        <f>Rankings!C10</f>
      </c>
      <c r="H25" s="53" t="s">
        <v>961</v>
      </c>
      <c r="I25" s="337" cm="1">
        <f t="array" ref="I25">IF(COUNTIFS('Games Schedule'!$I$5:$I$31,"M",'Games Schedule'!$J$5:$J$31,"P",'Games Schedule'!$K$5:$K$31,5,'Games Schedule'!$S$5:$S$31,"&lt;&gt;",'Games Schedule'!$T$5:$T$31,"&lt;&gt;")=0,"",IFERROR(INDEX(IF('Games Schedule'!$S$5:$S$31&gt;'Games Schedule'!$T$5:$T$31,'Games Schedule'!$O$5:$O$31,'Games Schedule'!$N$5:$N$31),MATCH(1,('Games Schedule'!$I$5:$I$31="M")*('Games Schedule'!$J$5:$J$31="P")*('Games Schedule'!$K$5:$K$31=5),0)),""))</f>
      </c>
    </row>
    <row r="26" spans="2:9" ht="14.25" customHeight="1">
      <c r="B26" s="373">
        <f>Rankings!B4</f>
      </c>
      <c r="C26" s="373">
        <f>Rankings!C4</f>
      </c>
      <c r="D26" s="373">
        <f>Rankings!B11</f>
      </c>
      <c r="E26" s="373">
        <f>Rankings!C11</f>
      </c>
      <c r="H26" s="53" t="s">
        <v>962</v>
      </c>
      <c r="I26" s="337" cm="1">
        <f t="array" ref="I26">IF(COUNTIFS('Games Schedule'!$I$5:$I$31,"M",'Games Schedule'!$J$5:$J$31,"P",'Games Schedule'!$K$5:$K$31,7,'Games Schedule'!$S$5:$S$31,"&lt;&gt;",'Games Schedule'!$T$5:$T$31,"&lt;&gt;")=0,"",IFERROR(INDEX(IF('Games Schedule'!$S$5:$S$31&gt;'Games Schedule'!$T$5:$T$31,'Games Schedule'!$N$5:$N$31,'Games Schedule'!$O$5:$O$31),MATCH(1,('Games Schedule'!$I$5:$I$31="M")*('Games Schedule'!$J$5:$J$31="P")*('Games Schedule'!$K$5:$K$31=7),0)),""))</f>
      </c>
    </row>
    <row r="27" spans="2:9" ht="14.25" customHeight="1">
      <c r="B27" s="374">
        <f>Rankings!B5</f>
      </c>
      <c r="C27" s="374">
        <f>Rankings!C5</f>
      </c>
      <c r="D27" s="374">
        <f>Rankings!B12</f>
      </c>
      <c r="E27" s="374">
        <f>Rankings!C12</f>
      </c>
      <c r="H27" s="53" t="s">
        <v>963</v>
      </c>
      <c r="I27" s="337" cm="1">
        <f t="array" ref="I27">IF(COUNTIFS('Games Schedule'!$I$5:$I$31,"M",'Games Schedule'!$J$5:$J$31,"P",'Games Schedule'!$K$5:$K$31,7,'Games Schedule'!$S$5:$S$31,"&lt;&gt;",'Games Schedule'!$T$5:$T$31,"&lt;&gt;")=0,"",IFERROR(INDEX(IF('Games Schedule'!$S$5:$S$31&gt;'Games Schedule'!$T$5:$T$31,'Games Schedule'!$O$5:$O$31,'Games Schedule'!$N$5:$N$31),MATCH(1,('Games Schedule'!$I$5:$I$31="M")*('Games Schedule'!$J$5:$J$31="P")*('Games Schedule'!$K$5:$K$31=7),0)),""))</f>
      </c>
    </row>
    <row r="28" spans="2:9" ht="14.25" customHeight="1">
      <c r="B28" s="373">
        <f>Rankings!B6</f>
      </c>
      <c r="C28" s="373">
        <f>Rankings!C6</f>
      </c>
      <c r="D28" s="373">
        <f>Rankings!B13</f>
      </c>
      <c r="E28" s="373">
        <f>Rankings!C13</f>
      </c>
    </row>
    <row r="29" spans="2:9" ht="14.25" customHeight="1">
      <c r="H29" s="830" t="s">
        <v>964</v>
      </c>
      <c r="I29" s="830"/>
    </row>
    <row r="30" spans="2:9" ht="14.25" customHeight="1">
      <c r="B30" s="830" t="s">
        <v>965</v>
      </c>
      <c r="C30" s="830"/>
      <c r="H30" s="53" t="s">
        <v>955</v>
      </c>
      <c r="I30" s="337" cm="1">
        <f t="array" ref="I30">IF(COUNTIFS('Games Schedule'!$I$5:$I$31,"W",'Games Schedule'!$J$5:$J$31,"P",'Games Schedule'!$K$5:$K$31,1,'Games Schedule'!$S$5:$S$31,"&lt;&gt;",'Games Schedule'!$T$5:$T$31,"&lt;&gt;")=0,"",IFERROR(INDEX(IF('Games Schedule'!$S$5:$S$31&gt;'Games Schedule'!$T$5:$T$31,'Games Schedule'!$N$5:$N$31,'Games Schedule'!$O$5:$O$31),MATCH(1,('Games Schedule'!$I$5:$I$31="W")*('Games Schedule'!$J$5:$J$31="P")*('Games Schedule'!$K$5:$K$31=1),0)),""))</f>
      </c>
    </row>
    <row r="31" spans="2:9" ht="14.25" customHeight="1">
      <c r="B31" s="24" t="s">
        <v>444</v>
      </c>
      <c r="C31" s="24" t="s">
        <v>919</v>
      </c>
      <c r="H31" s="53" t="s">
        <v>957</v>
      </c>
      <c r="I31" s="337" cm="1">
        <f t="array" ref="I31">IF(COUNTIFS('Games Schedule'!$I$5:$I$31,"W",'Games Schedule'!$J$5:$J$31,"P",'Games Schedule'!$K$5:$K$31,1,'Games Schedule'!$S$5:$S$31,"&lt;&gt;",'Games Schedule'!$T$5:$T$31,"&lt;&gt;")=0,"",IFERROR(INDEX(IF('Games Schedule'!$S$5:$S$31&gt;'Games Schedule'!$T$5:$T$31,'Games Schedule'!$O$5:$O$31,'Games Schedule'!$N$5:$N$31),MATCH(1,('Games Schedule'!$I$5:$I$31="W")*('Games Schedule'!$J$5:$J$31="P")*('Games Schedule'!$K$5:$K$31=1),0)),""))</f>
      </c>
    </row>
    <row r="32" spans="2:9" ht="14.25" customHeight="1">
      <c r="B32" s="374">
        <f>Rankings!B17</f>
      </c>
      <c r="C32" s="374">
        <f>Rankings!C17</f>
      </c>
      <c r="H32" s="53" t="s">
        <v>958</v>
      </c>
      <c r="I32" s="337" cm="1">
        <f t="array" ref="I32">IF(COUNTIFS('Games Schedule'!$I$5:$I$31,"W",'Games Schedule'!$J$5:$J$31,"P",'Games Schedule'!$K$5:$K$31,3)&gt;0,IF(COUNTIFS('Games Schedule'!$I$5:$I$31,"W",'Games Schedule'!$J$5:$J$31,"P",'Games Schedule'!$K$5:$K$31,3,'Games Schedule'!$S$5:$S$31,"&lt;&gt;",'Games Schedule'!$T$5:$T$31,"&lt;&gt;")=0,"",IFERROR(INDEX(IF('Games Schedule'!$S$5:$S$31&gt;'Games Schedule'!$T$5:$T$31,'Games Schedule'!$N$5:$N$31,'Games Schedule'!$O$5:$O$31),MATCH(1,('Games Schedule'!$I$5:$I$31="W")*('Games Schedule'!$J$5:$J$31="P")*('Games Schedule'!$K$5:$K$31=3),0)),"")),Rankings!B19)</f>
      </c>
    </row>
    <row r="33" spans="2:9" ht="14.25" customHeight="1">
      <c r="B33" s="373">
        <f>Rankings!B18</f>
      </c>
      <c r="C33" s="373">
        <f>Rankings!C18</f>
      </c>
      <c r="H33" s="53" t="s">
        <v>959</v>
      </c>
      <c r="I33" s="337" cm="1">
        <f t="array" ref="I33">IF(COUNTIFS('Games Schedule'!$I$5:$I$31,"W",'Games Schedule'!$J$5:$J$31,"P",'Games Schedule'!$K$5:$K$31,3)&gt;0,IF(COUNTIFS('Games Schedule'!$I$5:$I$31,"W",'Games Schedule'!$J$5:$J$31,"P",'Games Schedule'!$K$5:$K$31,3,'Games Schedule'!$S$5:$S$31,"&lt;&gt;",'Games Schedule'!$T$5:$T$31,"&lt;&gt;")=0,"",IFERROR(INDEX(IF('Games Schedule'!$S$5:$S$31&gt;'Games Schedule'!$T$5:$T$31,'Games Schedule'!$O$5:$O$31,'Games Schedule'!$N$5:$N$31),MATCH(1,('Games Schedule'!$I$5:$I$31="W")*('Games Schedule'!$J$5:$J$31="P")*('Games Schedule'!$K$5:$K$31=3),0)),"")),Rankings!B20)</f>
      </c>
    </row>
    <row r="34" spans="2:9" ht="14.25" customHeight="1">
      <c r="B34" s="374">
        <f>Rankings!B19</f>
      </c>
      <c r="C34" s="374">
        <f>Rankings!C19</f>
      </c>
      <c r="H34" s="53" t="s">
        <v>960</v>
      </c>
      <c r="I34" s="337" cm="1">
        <f t="array" ref="I34">IF(COUNTIFS('Games Schedule'!$I$5:$I$31,"W",'Games Schedule'!$J$5:$J$31,"P",'Games Schedule'!$K$5:$K$31,5)&gt;0,IF(COUNTIFS('Games Schedule'!$I$5:$I$31,"W",'Games Schedule'!$J$5:$J$31,"P",'Games Schedule'!$K$5:$K$31,5,'Games Schedule'!$S$5:$S$31,"&lt;&gt;",'Games Schedule'!$T$5:$T$31,"&lt;&gt;")=0,"",IFERROR(INDEX(IF('Games Schedule'!$S$5:$S$31&gt;'Games Schedule'!$T$5:$T$31,'Games Schedule'!$N$5:$N$31,'Games Schedule'!$O$5:$O$31),MATCH(1,('Games Schedule'!$I$5:$I$31="W")*('Games Schedule'!$J$5:$J$31="P")*('Games Schedule'!$K$5:$K$31=5),0)),"")),Rankings!B21)</f>
      </c>
    </row>
    <row r="35" spans="2:9" ht="14.25" customHeight="1">
      <c r="B35" s="373">
        <f>Rankings!B20</f>
      </c>
      <c r="C35" s="373">
        <f>Rankings!C20</f>
      </c>
      <c r="I35" s="322" cm="1">
        <f t="array" ref="I35">IF(COUNTIFS('Games Schedule'!$I$5:$I$31,"W",'Games Schedule'!$J$5:$J$31,"P",'Games Schedule'!$K$5:$K$31,5)&gt;0,IF(COUNTIFS('Games Schedule'!$I$5:$I$31,"W",'Games Schedule'!$J$5:$J$31,"P",'Games Schedule'!$K$5:$K$31,5,'Games Schedule'!$S$5:$S$31,"&lt;&gt;",'Games Schedule'!$T$5:$T$31,"&lt;&gt;")=0,"",IFERROR(INDEX(IF('Games Schedule'!$S$5:$S$31&gt;'Games Schedule'!$T$5:$T$31,'Games Schedule'!$O$5:$O$31,'Games Schedule'!$N$5:$N$31),MATCH(1,('Games Schedule'!$I$5:$I$31="W")*('Games Schedule'!$J$5:$J$31="P")*('Games Schedule'!$K$5:$K$31=5),0)),"")),Rankings!B22)</f>
      </c>
    </row>
    <row r="36" spans="2:9" ht="14.25" customHeight="1">
      <c r="B36" s="374">
        <f>Rankings!B21</f>
      </c>
      <c r="C36" s="374">
        <f>Rankings!C21</f>
      </c>
    </row>
    <row r="37" spans="2:9" ht="14.25" customHeight="1">
      <c r="B37" s="322">
        <f>Rankings!B22</f>
      </c>
      <c r="C37" s="322">
        <f>Rankings!C22</f>
      </c>
    </row>
    <row r="38" spans="2:9" ht="14.25" customHeight="1"/>
    <row r="39" spans="2:9" ht="14.25" customHeight="1"/>
    <row r="40" spans="2:9" ht="14.25" customHeight="1"/>
    <row r="41" spans="2:9" ht="14.25" customHeight="1"/>
    <row r="42" spans="2:9" ht="14.25" customHeight="1"/>
    <row r="43" spans="2:9" ht="14.25" customHeight="1"/>
    <row r="44" spans="2:9" ht="14.25" customHeight="1"/>
    <row r="45" spans="2:9" ht="14.25" customHeight="1"/>
    <row r="46" spans="2:9" ht="14.25" customHeight="1"/>
    <row r="47" spans="2:9" ht="14.25" customHeight="1"/>
    <row r="48" spans="2:9"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4">
    <mergeCell ref="H16:I16"/>
    <mergeCell ref="H17:I17"/>
    <mergeCell ref="H19:I19"/>
    <mergeCell ref="H29:I29"/>
    <mergeCell ref="B14:C14"/>
    <mergeCell ref="B21:F21"/>
    <mergeCell ref="B23:C23"/>
    <mergeCell ref="D23:E23"/>
    <mergeCell ref="B30:C30"/>
    <mergeCell ref="E14:F14"/>
    <mergeCell ref="B2:C2"/>
    <mergeCell ref="E2:F2"/>
    <mergeCell ref="B4:C4"/>
    <mergeCell ref="E4:F4"/>
  </mergeCells>
  <pageMargins left="0.7" right="0.7" top="0.75" bottom="0.75" header="0" footer="0"/>
  <pageSetup orientation="portrait"/>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72C3D-F514-4F7C-B273-208590C1AB21}">
  <sheetPr>
    <tabColor rgb="FFA9D18E"/>
  </sheetPr>
  <dimension ref="B2:F23"/>
  <sheetViews>
    <sheetView showGridLines="0" workbookViewId="0"/>
  </sheetViews>
  <sheetFormatPr defaultRowHeight="14.4"/>
  <cols>
    <col min="2" max="2" width="40.77734375" customWidth="1"/>
    <col min="3" max="6" width="30" customWidth="1"/>
  </cols>
  <sheetData>
    <row r="2" spans="2:3" ht="21">
      <c r="B2" s="812" t="s">
        <v>966</v>
      </c>
    </row>
    <row r="3" spans="2:3">
      <c r="B3" s="813" t="s">
        <v>967</v>
      </c>
    </row>
    <row r="5" ht="15.6">
      <c r="B5" s="814" t="s">
        <v>936</v>
      </c>
      <c r="C5" s="815" t="s">
        <v>968</v>
      </c>
      <c r="D5" s="815" t="s">
        <v>969</v>
      </c>
      <c r="E5" s="815" t="s">
        <v>970</v>
      </c>
      <c r="F5" s="815" t="s">
        <v>971</v>
      </c>
    </row>
    <row r="6">
      <c r="B6" t="s">
        <v>938</v>
      </c>
      <c r="C6" s="817" t="s">
        <v>476</v>
      </c>
      <c r="D6" s="817" t="s">
        <v>471</v>
      </c>
      <c r="E6" s="817" t="s">
        <v>476</v>
      </c>
      <c r="F6" s="817" t="s">
        <v>484</v>
      </c>
    </row>
    <row r="7">
      <c r="B7" t="s">
        <v>940</v>
      </c>
      <c r="C7" s="817" t="s">
        <v>489</v>
      </c>
      <c r="D7" s="817" t="s">
        <v>480</v>
      </c>
      <c r="E7" s="817" t="s">
        <v>484</v>
      </c>
      <c r="F7" s="817" t="s">
        <v>476</v>
      </c>
    </row>
    <row r="8">
      <c r="B8" t="s">
        <v>942</v>
      </c>
      <c r="C8" s="817" t="s">
        <v>471</v>
      </c>
      <c r="D8" s="817" t="s">
        <v>972</v>
      </c>
      <c r="E8" s="817" t="s">
        <v>489</v>
      </c>
      <c r="F8" s="817" t="s">
        <v>489</v>
      </c>
    </row>
    <row r="9">
      <c r="B9" t="s">
        <v>939</v>
      </c>
      <c r="C9" s="817" t="s">
        <v>973</v>
      </c>
      <c r="D9" s="817" t="s">
        <v>974</v>
      </c>
      <c r="E9" s="817" t="s">
        <v>975</v>
      </c>
      <c r="F9" s="817" t="s">
        <v>976</v>
      </c>
    </row>
    <row r="10">
      <c r="B10" t="s">
        <v>977</v>
      </c>
      <c r="C10" s="817" t="s">
        <v>978</v>
      </c>
      <c r="D10" s="817" t="s">
        <v>979</v>
      </c>
      <c r="E10" s="817" t="s">
        <v>980</v>
      </c>
      <c r="F10" s="817" t="s">
        <v>981</v>
      </c>
    </row>
    <row r="11">
      <c r="B11" t="s">
        <v>943</v>
      </c>
      <c r="C11" s="817" t="s">
        <v>982</v>
      </c>
      <c r="D11" s="817" t="s">
        <v>983</v>
      </c>
      <c r="E11" s="817" t="s">
        <v>984</v>
      </c>
      <c r="F11" s="817" t="s">
        <v>985</v>
      </c>
    </row>
    <row r="12">
      <c r="B12" t="s">
        <v>986</v>
      </c>
      <c r="C12" s="817">
        <v>28</v>
      </c>
      <c r="D12" s="817">
        <v>24</v>
      </c>
      <c r="E12" s="817">
        <v>21</v>
      </c>
      <c r="F12" s="817">
        <v>27</v>
      </c>
    </row>
    <row r="14" ht="15.6">
      <c r="B14" s="814" t="s">
        <v>950</v>
      </c>
      <c r="C14" s="815" t="s">
        <v>968</v>
      </c>
      <c r="D14" s="815" t="s">
        <v>969</v>
      </c>
      <c r="E14" s="815" t="s">
        <v>970</v>
      </c>
      <c r="F14" s="815" t="s">
        <v>971</v>
      </c>
    </row>
    <row r="15">
      <c r="B15" t="s">
        <v>938</v>
      </c>
      <c r="C15" s="817" t="s">
        <v>513</v>
      </c>
      <c r="D15" s="817" t="s">
        <v>507</v>
      </c>
      <c r="E15" s="817" t="s">
        <v>516</v>
      </c>
      <c r="F15" s="817" t="s">
        <v>513</v>
      </c>
    </row>
    <row r="16">
      <c r="B16" t="s">
        <v>940</v>
      </c>
      <c r="C16" s="817" t="s">
        <v>516</v>
      </c>
      <c r="D16" s="817" t="s">
        <v>513</v>
      </c>
      <c r="E16" s="817" t="s">
        <v>507</v>
      </c>
      <c r="F16" s="817" t="s">
        <v>987</v>
      </c>
    </row>
    <row r="17">
      <c r="B17" t="s">
        <v>942</v>
      </c>
      <c r="C17" s="817" t="s">
        <v>510</v>
      </c>
      <c r="D17" s="817" t="s">
        <v>510</v>
      </c>
      <c r="E17" s="817" t="s">
        <v>513</v>
      </c>
      <c r="F17" s="817" t="s">
        <v>516</v>
      </c>
    </row>
    <row r="18">
      <c r="B18" t="s">
        <v>939</v>
      </c>
      <c r="C18" s="817" t="s">
        <v>988</v>
      </c>
      <c r="D18" s="817" t="s">
        <v>989</v>
      </c>
      <c r="E18" s="817" t="s">
        <v>990</v>
      </c>
      <c r="F18" s="817" t="s">
        <v>991</v>
      </c>
    </row>
    <row r="19">
      <c r="B19" t="s">
        <v>977</v>
      </c>
      <c r="C19" s="817" t="s">
        <v>992</v>
      </c>
      <c r="D19" s="817" t="s">
        <v>993</v>
      </c>
      <c r="E19" s="817" t="s">
        <v>994</v>
      </c>
      <c r="F19" s="817" t="s">
        <v>995</v>
      </c>
    </row>
    <row r="20">
      <c r="B20" t="s">
        <v>943</v>
      </c>
      <c r="C20" s="817" t="s">
        <v>996</v>
      </c>
      <c r="D20" s="817" t="s">
        <v>997</v>
      </c>
      <c r="E20" s="817" t="s">
        <v>998</v>
      </c>
      <c r="F20" s="817" t="s">
        <v>999</v>
      </c>
    </row>
    <row r="21">
      <c r="B21" t="s">
        <v>986</v>
      </c>
      <c r="C21" s="817">
        <v>33</v>
      </c>
      <c r="D21" s="817">
        <v>21</v>
      </c>
      <c r="E21" s="817">
        <v>27</v>
      </c>
      <c r="F21" s="817">
        <v>23</v>
      </c>
    </row>
    <row r="23" spans="2:3">
      <c r="B23" s="816" t="s">
        <v>1000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3D2B1-BB6F-4952-B43F-1C3F7985FDF1}">
  <sheetPr>
    <tabColor rgb="FF7030A0"/>
  </sheetPr>
  <dimension ref="A1"/>
  <sheetViews>
    <sheetView workbookViewId="0"/>
  </sheetViews>
  <sheetFormatPr defaultRowHeight="14.4"/>
  <sheetData>
    <row r="1" spans="1:1" ht="23.4">
      <c r="A1" s="156" t="s">
        <v>40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45EF5-7559-4520-B9F9-D7278786F44A}">
  <sheetPr>
    <tabColor rgb="FFC5A3DF"/>
  </sheetPr>
  <dimension ref="A1:P261"/>
  <sheetViews>
    <sheetView topLeftCell="A141" workbookViewId="0">
      <selection activeCell="A11" sqref="A11"/>
    </sheetView>
  </sheetViews>
  <sheetFormatPr defaultRowHeight="14.4" outlineLevelCol="1"/>
  <cols>
    <col min="1" max="1" width="9.6640625" bestFit="1" customWidth="1"/>
    <col min="2" max="2" width="18.109375" bestFit="1" customWidth="1"/>
    <col min="3" max="3" width="9.6640625" bestFit="1" customWidth="1"/>
    <col min="4" max="4" width="11.6640625" customWidth="1"/>
    <col min="5" max="5" width="15.5546875" bestFit="1" customWidth="1"/>
    <col min="6" max="6" width="20.6640625" bestFit="1" customWidth="1"/>
    <col min="7" max="7" width="26.6640625" bestFit="1" customWidth="1"/>
    <col min="8" max="8" width="11.6640625" customWidth="1"/>
    <col min="9" max="9" width="8.44140625" bestFit="1" customWidth="1"/>
    <col min="11" max="11" width="9.6640625" customWidth="1"/>
    <col min="12" max="12" width="9.44140625" customWidth="1"/>
    <col min="13" max="13" width="11.33203125" customWidth="1"/>
    <col min="14" max="14" width="26.6640625" bestFit="1" customWidth="1"/>
    <col min="16" max="16" width="8.88671875" outlineLevel="1"/>
  </cols>
  <sheetData>
    <row r="1" spans="1:16" ht="15" thickBot="1">
      <c r="A1" s="28" t="s">
        <v>444</v>
      </c>
      <c r="B1" s="28" t="s">
        <v>528</v>
      </c>
      <c r="C1" s="28" t="s">
        <v>1001</v>
      </c>
      <c r="D1" s="28" t="s">
        <v>1002</v>
      </c>
      <c r="E1" s="28" t="s">
        <v>1003</v>
      </c>
      <c r="F1" s="28" t="s">
        <v>1004</v>
      </c>
      <c r="G1" s="28" t="s">
        <v>1005</v>
      </c>
      <c r="H1" s="28" t="s">
        <v>1006</v>
      </c>
      <c r="I1" s="28" t="s">
        <v>525</v>
      </c>
      <c r="J1" s="28" t="s">
        <v>1007</v>
      </c>
      <c r="K1" s="28" t="s">
        <v>1008</v>
      </c>
      <c r="L1" s="28" t="s">
        <v>458</v>
      </c>
      <c r="M1" s="28" t="s">
        <v>1009</v>
      </c>
      <c r="N1" s="28" t="s">
        <v>1010</v>
      </c>
      <c r="P1" t="s">
        <v>1011</v>
      </c>
    </row>
    <row r="2" spans="1:16">
      <c r="A2" s="627" cm="1">
        <f t="array" ref="A2">INDEX('Teams Master'!$C$2:$C$14,INT((ROW()-2)/20)+1)</f>
      </c>
      <c r="B2" s="628">
        <f t="shared" ref="B2:B65" si="0">IF(MOD(ROW()-2,20)+1&lt;=16,"Player","Official")</f>
      </c>
      <c r="C2" s="629">
        <v>1</v>
      </c>
      <c r="D2" s="629" t="s">
        <v>1012</v>
      </c>
      <c r="E2" s="629" t="s">
        <v>1013</v>
      </c>
      <c r="F2" s="629" t="s">
        <v>1014</v>
      </c>
      <c r="G2" s="628">
        <f t="shared" ref="G2:G65" si="1">IF(MOD(ROW()-2,20)+1&lt;=16,"Player","Official "&amp;MID("ABCD",MOD(ROW()-2,20)-15,1))</f>
      </c>
      <c r="H2" s="629"/>
      <c r="I2" s="629"/>
      <c r="J2" s="629"/>
      <c r="K2" s="627" cm="1">
        <f t="array" ref="K2">IF(AND($D2="",$E2=""),"",INDEX('Teams Master'!$A$2:$A$14,INT((ROW()-2)/20)+1))</f>
      </c>
      <c r="L2" s="627" cm="1">
        <f t="array" ref="L2">IF(AND($D2="",$E2=""),"",INDEX('Teams Master'!$D$2:$D$14,INT((ROW()-2)/20)+1))</f>
      </c>
      <c r="M2" s="628">
        <f t="shared" ref="M2:M65" si="2">IF(AND($D2="",$E2=""),"",TRIM($D2&amp;" "&amp;$E2))</f>
      </c>
      <c r="N2" s="628">
        <f t="shared" ref="N2:N65" si="3">IF(AND($D2="",$E2=""),"",$A2&amp;"|"&amp;$G2)</f>
      </c>
      <c r="P2" t="s">
        <v>1015</v>
      </c>
    </row>
    <row r="3" spans="1:16">
      <c r="A3" s="322" cm="1">
        <f t="array" ref="A3">INDEX('Teams Master'!$C$2:$C$14,INT((ROW()-2)/20)+1)</f>
      </c>
      <c r="B3" s="194">
        <f t="shared" si="0"/>
      </c>
      <c r="C3" s="319">
        <v>12</v>
      </c>
      <c r="D3" s="319" t="s">
        <v>1016</v>
      </c>
      <c r="E3" s="319" t="s">
        <v>1017</v>
      </c>
      <c r="F3" s="319" t="s">
        <v>1014</v>
      </c>
      <c r="G3" s="194">
        <f t="shared" si="1"/>
      </c>
      <c r="H3" s="319"/>
      <c r="I3" s="319"/>
      <c r="J3" s="319"/>
      <c r="K3" s="322" cm="1">
        <f t="array" ref="K3">IF(AND($D3="",$E3=""),"",INDEX('Teams Master'!$A$2:$A$14,INT((ROW()-2)/20)+1))</f>
      </c>
      <c r="L3" s="322" cm="1">
        <f t="array" ref="L3">IF(AND($D3="",$E3=""),"",INDEX('Teams Master'!$D$2:$D$14,INT((ROW()-2)/20)+1))</f>
      </c>
      <c r="M3" s="194">
        <f t="shared" si="2"/>
      </c>
      <c r="N3" s="194">
        <f t="shared" si="3"/>
      </c>
      <c r="P3" t="s">
        <v>1018</v>
      </c>
    </row>
    <row r="4" spans="1:16">
      <c r="A4" s="322" cm="1">
        <f t="array" ref="A4">INDEX('Teams Master'!$C$2:$C$14,INT((ROW()-2)/20)+1)</f>
      </c>
      <c r="B4" s="194">
        <f t="shared" si="0"/>
      </c>
      <c r="C4" s="319">
        <v>6</v>
      </c>
      <c r="D4" s="319" t="s">
        <v>1019</v>
      </c>
      <c r="E4" s="319" t="s">
        <v>1020</v>
      </c>
      <c r="F4" s="319" t="s">
        <v>1021</v>
      </c>
      <c r="G4" s="194">
        <f t="shared" si="1"/>
      </c>
      <c r="H4" s="319"/>
      <c r="I4" s="319"/>
      <c r="J4" s="319"/>
      <c r="K4" s="322" cm="1">
        <f t="array" ref="K4">IF(AND($D4="",$E4=""),"",INDEX('Teams Master'!$A$2:$A$14,INT((ROW()-2)/20)+1))</f>
      </c>
      <c r="L4" s="322" cm="1">
        <f t="array" ref="L4">IF(AND($D4="",$E4=""),"",INDEX('Teams Master'!$D$2:$D$14,INT((ROW()-2)/20)+1))</f>
      </c>
      <c r="M4" s="194">
        <f t="shared" si="2"/>
      </c>
      <c r="N4" s="194">
        <f t="shared" si="3"/>
      </c>
    </row>
    <row r="5" spans="1:16">
      <c r="A5" s="322" cm="1">
        <f t="array" ref="A5">INDEX('Teams Master'!$C$2:$C$14,INT((ROW()-2)/20)+1)</f>
      </c>
      <c r="B5" s="194">
        <f t="shared" si="0"/>
      </c>
      <c r="C5" s="319">
        <v>65</v>
      </c>
      <c r="D5" s="319" t="s">
        <v>1022</v>
      </c>
      <c r="E5" s="319" t="s">
        <v>1023</v>
      </c>
      <c r="F5" s="319" t="s">
        <v>1021</v>
      </c>
      <c r="G5" s="194">
        <f t="shared" si="1"/>
      </c>
      <c r="H5" s="319"/>
      <c r="I5" s="319"/>
      <c r="J5" s="319"/>
      <c r="K5" s="322" cm="1">
        <f t="array" ref="K5">IF(AND($D5="",$E5=""),"",INDEX('Teams Master'!$A$2:$A$14,INT((ROW()-2)/20)+1))</f>
      </c>
      <c r="L5" s="322" cm="1">
        <f t="array" ref="L5">IF(AND($D5="",$E5=""),"",INDEX('Teams Master'!$D$2:$D$14,INT((ROW()-2)/20)+1))</f>
      </c>
      <c r="M5" s="194">
        <f t="shared" si="2"/>
      </c>
      <c r="N5" s="194">
        <f t="shared" si="3"/>
      </c>
    </row>
    <row r="6" spans="1:16">
      <c r="A6" s="322" cm="1">
        <f t="array" ref="A6">INDEX('Teams Master'!$C$2:$C$14,INT((ROW()-2)/20)+1)</f>
      </c>
      <c r="B6" s="194">
        <f t="shared" si="0"/>
      </c>
      <c r="C6" s="319">
        <v>87</v>
      </c>
      <c r="D6" s="319" t="s">
        <v>1024</v>
      </c>
      <c r="E6" s="319" t="s">
        <v>1025</v>
      </c>
      <c r="F6" s="319" t="s">
        <v>1026</v>
      </c>
      <c r="G6" s="194">
        <f t="shared" si="1"/>
      </c>
      <c r="H6" s="319"/>
      <c r="I6" s="319"/>
      <c r="J6" s="319"/>
      <c r="K6" s="322" cm="1">
        <f t="array" ref="K6">IF(AND($D6="",$E6=""),"",INDEX('Teams Master'!$A$2:$A$14,INT((ROW()-2)/20)+1))</f>
      </c>
      <c r="L6" s="322" cm="1">
        <f t="array" ref="L6">IF(AND($D6="",$E6=""),"",INDEX('Teams Master'!$D$2:$D$14,INT((ROW()-2)/20)+1))</f>
      </c>
      <c r="M6" s="194">
        <f t="shared" si="2"/>
      </c>
      <c r="N6" s="194">
        <f t="shared" si="3"/>
      </c>
    </row>
    <row r="7" spans="1:16">
      <c r="A7" s="322" cm="1">
        <f t="array" ref="A7">INDEX('Teams Master'!$C$2:$C$14,INT((ROW()-2)/20)+1)</f>
      </c>
      <c r="B7" s="194">
        <f t="shared" si="0"/>
      </c>
      <c r="C7" s="319">
        <v>89</v>
      </c>
      <c r="D7" s="319" t="s">
        <v>1027</v>
      </c>
      <c r="E7" s="319" t="s">
        <v>1028</v>
      </c>
      <c r="F7" s="319" t="s">
        <v>1026</v>
      </c>
      <c r="G7" s="194">
        <f t="shared" si="1"/>
      </c>
      <c r="H7" s="319"/>
      <c r="I7" s="319"/>
      <c r="J7" s="319"/>
      <c r="K7" s="322" cm="1">
        <f t="array" ref="K7">IF(AND($D7="",$E7=""),"",INDEX('Teams Master'!$A$2:$A$14,INT((ROW()-2)/20)+1))</f>
      </c>
      <c r="L7" s="322" cm="1">
        <f t="array" ref="L7">IF(AND($D7="",$E7=""),"",INDEX('Teams Master'!$D$2:$D$14,INT((ROW()-2)/20)+1))</f>
      </c>
      <c r="M7" s="194">
        <f t="shared" si="2"/>
      </c>
      <c r="N7" s="194">
        <f t="shared" si="3"/>
      </c>
    </row>
    <row r="8" spans="1:16">
      <c r="A8" s="322" cm="1">
        <f t="array" ref="A8">INDEX('Teams Master'!$C$2:$C$14,INT((ROW()-2)/20)+1)</f>
      </c>
      <c r="B8" s="194">
        <f t="shared" si="0"/>
      </c>
      <c r="C8" s="319">
        <v>29</v>
      </c>
      <c r="D8" s="319" t="s">
        <v>1029</v>
      </c>
      <c r="E8" s="319" t="s">
        <v>1030</v>
      </c>
      <c r="F8" s="319" t="s">
        <v>1026</v>
      </c>
      <c r="G8" s="194">
        <f t="shared" si="1"/>
      </c>
      <c r="H8" s="319"/>
      <c r="I8" s="319"/>
      <c r="J8" s="319"/>
      <c r="K8" s="322" cm="1">
        <f t="array" ref="K8">IF(AND($D8="",$E8=""),"",INDEX('Teams Master'!$A$2:$A$14,INT((ROW()-2)/20)+1))</f>
      </c>
      <c r="L8" s="322" cm="1">
        <f t="array" ref="L8">IF(AND($D8="",$E8=""),"",INDEX('Teams Master'!$D$2:$D$14,INT((ROW()-2)/20)+1))</f>
      </c>
      <c r="M8" s="194">
        <f t="shared" si="2"/>
      </c>
      <c r="N8" s="194">
        <f t="shared" si="3"/>
      </c>
    </row>
    <row r="9" spans="1:16">
      <c r="A9" s="322" cm="1">
        <f t="array" ref="A9">INDEX('Teams Master'!$C$2:$C$14,INT((ROW()-2)/20)+1)</f>
      </c>
      <c r="B9" s="194">
        <f t="shared" si="0"/>
      </c>
      <c r="C9" s="319">
        <v>77</v>
      </c>
      <c r="D9" s="319" t="s">
        <v>1031</v>
      </c>
      <c r="E9" s="319" t="s">
        <v>1032</v>
      </c>
      <c r="F9" s="319" t="s">
        <v>1033</v>
      </c>
      <c r="G9" s="194">
        <f t="shared" si="1"/>
      </c>
      <c r="H9" s="319"/>
      <c r="I9" s="319"/>
      <c r="J9" s="319"/>
      <c r="K9" s="322" cm="1">
        <f t="array" ref="K9">IF(AND($D9="",$E9=""),"",INDEX('Teams Master'!$A$2:$A$14,INT((ROW()-2)/20)+1))</f>
      </c>
      <c r="L9" s="322" cm="1">
        <f t="array" ref="L9">IF(AND($D9="",$E9=""),"",INDEX('Teams Master'!$D$2:$D$14,INT((ROW()-2)/20)+1))</f>
      </c>
      <c r="M9" s="194">
        <f t="shared" si="2"/>
      </c>
      <c r="N9" s="194">
        <f t="shared" si="3"/>
      </c>
    </row>
    <row r="10" spans="1:16">
      <c r="A10" s="322" cm="1">
        <f t="array" ref="A10">INDEX('Teams Master'!$C$2:$C$14,INT((ROW()-2)/20)+1)</f>
      </c>
      <c r="B10" s="194">
        <f t="shared" si="0"/>
      </c>
      <c r="C10" s="319">
        <v>92</v>
      </c>
      <c r="D10" s="319" t="s">
        <v>1034</v>
      </c>
      <c r="E10" s="319" t="s">
        <v>1035</v>
      </c>
      <c r="F10" s="319" t="s">
        <v>1033</v>
      </c>
      <c r="G10" s="194">
        <f t="shared" si="1"/>
      </c>
      <c r="H10" s="319"/>
      <c r="I10" s="319"/>
      <c r="J10" s="319"/>
      <c r="K10" s="322" cm="1">
        <f t="array" ref="K10">IF(AND($D10="",$E10=""),"",INDEX('Teams Master'!$A$2:$A$14,INT((ROW()-2)/20)+1))</f>
      </c>
      <c r="L10" s="322" cm="1">
        <f t="array" ref="L10">IF(AND($D10="",$E10=""),"",INDEX('Teams Master'!$D$2:$D$14,INT((ROW()-2)/20)+1))</f>
      </c>
      <c r="M10" s="194">
        <f t="shared" si="2"/>
      </c>
      <c r="N10" s="194">
        <f t="shared" si="3"/>
      </c>
    </row>
    <row r="11" spans="1:16">
      <c r="A11" s="322" cm="1">
        <f t="array" ref="A11">INDEX('Teams Master'!$C$2:$C$14,INT((ROW()-2)/20)+1)</f>
      </c>
      <c r="B11" s="194">
        <f t="shared" si="0"/>
      </c>
      <c r="C11" s="319">
        <v>10</v>
      </c>
      <c r="D11" s="319" t="s">
        <v>1036</v>
      </c>
      <c r="E11" s="319" t="s">
        <v>1037</v>
      </c>
      <c r="F11" s="319" t="s">
        <v>1033</v>
      </c>
      <c r="G11" s="194">
        <f t="shared" si="1"/>
      </c>
      <c r="H11" s="319"/>
      <c r="I11" s="319"/>
      <c r="J11" s="319"/>
      <c r="K11" s="322" cm="1">
        <f t="array" ref="K11">IF(AND($D11="",$E11=""),"",INDEX('Teams Master'!$A$2:$A$14,INT((ROW()-2)/20)+1))</f>
      </c>
      <c r="L11" s="322" cm="1">
        <f t="array" ref="L11">IF(AND($D11="",$E11=""),"",INDEX('Teams Master'!$D$2:$D$14,INT((ROW()-2)/20)+1))</f>
      </c>
      <c r="M11" s="194">
        <f t="shared" si="2"/>
      </c>
      <c r="N11" s="194">
        <f t="shared" si="3"/>
      </c>
    </row>
    <row r="12" spans="1:16">
      <c r="A12" s="322" cm="1">
        <f t="array" ref="A12">INDEX('Teams Master'!$C$2:$C$14,INT((ROW()-2)/20)+1)</f>
      </c>
      <c r="B12" s="194">
        <f t="shared" si="0"/>
      </c>
      <c r="C12" s="319">
        <v>50</v>
      </c>
      <c r="D12" s="319" t="s">
        <v>1038</v>
      </c>
      <c r="E12" s="319" t="s">
        <v>1039</v>
      </c>
      <c r="F12" s="319" t="s">
        <v>1040</v>
      </c>
      <c r="G12" s="194">
        <f t="shared" si="1"/>
      </c>
      <c r="H12" s="319"/>
      <c r="I12" s="319"/>
      <c r="J12" s="319"/>
      <c r="K12" s="322" cm="1">
        <f t="array" ref="K12">IF(AND($D12="",$E12=""),"",INDEX('Teams Master'!$A$2:$A$14,INT((ROW()-2)/20)+1))</f>
      </c>
      <c r="L12" s="322" cm="1">
        <f t="array" ref="L12">IF(AND($D12="",$E12=""),"",INDEX('Teams Master'!$D$2:$D$14,INT((ROW()-2)/20)+1))</f>
      </c>
      <c r="M12" s="194">
        <f t="shared" si="2"/>
      </c>
      <c r="N12" s="194">
        <f t="shared" si="3"/>
      </c>
    </row>
    <row r="13" spans="1:16">
      <c r="A13" s="322" cm="1">
        <f t="array" ref="A13">INDEX('Teams Master'!$C$2:$C$14,INT((ROW()-2)/20)+1)</f>
      </c>
      <c r="B13" s="194">
        <f t="shared" si="0"/>
      </c>
      <c r="C13" s="319">
        <v>56</v>
      </c>
      <c r="D13" s="319" t="s">
        <v>1041</v>
      </c>
      <c r="E13" s="319" t="s">
        <v>1042</v>
      </c>
      <c r="F13" s="319" t="s">
        <v>1040</v>
      </c>
      <c r="G13" s="194">
        <f t="shared" si="1"/>
      </c>
      <c r="H13" s="319"/>
      <c r="I13" s="319"/>
      <c r="J13" s="319"/>
      <c r="K13" s="322" cm="1">
        <f t="array" ref="K13">IF(AND($D13="",$E13=""),"",INDEX('Teams Master'!$A$2:$A$14,INT((ROW()-2)/20)+1))</f>
      </c>
      <c r="L13" s="322" cm="1">
        <f t="array" ref="L13">IF(AND($D13="",$E13=""),"",INDEX('Teams Master'!$D$2:$D$14,INT((ROW()-2)/20)+1))</f>
      </c>
      <c r="M13" s="194">
        <f t="shared" si="2"/>
      </c>
      <c r="N13" s="194">
        <f t="shared" si="3"/>
      </c>
    </row>
    <row r="14" spans="1:16">
      <c r="A14" s="322" cm="1">
        <f t="array" ref="A14">INDEX('Teams Master'!$C$2:$C$14,INT((ROW()-2)/20)+1)</f>
      </c>
      <c r="B14" s="194">
        <f t="shared" si="0"/>
      </c>
      <c r="C14" s="319">
        <v>59</v>
      </c>
      <c r="D14" s="319" t="s">
        <v>1043</v>
      </c>
      <c r="E14" s="319" t="s">
        <v>1044</v>
      </c>
      <c r="F14" s="319" t="s">
        <v>1045</v>
      </c>
      <c r="G14" s="194">
        <f t="shared" si="1"/>
      </c>
      <c r="H14" s="319"/>
      <c r="I14" s="319"/>
      <c r="J14" s="319"/>
      <c r="K14" s="322" cm="1">
        <f t="array" ref="K14">IF(AND($D14="",$E14=""),"",INDEX('Teams Master'!$A$2:$A$14,INT((ROW()-2)/20)+1))</f>
      </c>
      <c r="L14" s="322" cm="1">
        <f t="array" ref="L14">IF(AND($D14="",$E14=""),"",INDEX('Teams Master'!$D$2:$D$14,INT((ROW()-2)/20)+1))</f>
      </c>
      <c r="M14" s="194">
        <f t="shared" si="2"/>
      </c>
      <c r="N14" s="194">
        <f t="shared" si="3"/>
      </c>
    </row>
    <row r="15" spans="1:16">
      <c r="A15" s="322" cm="1">
        <f t="array" ref="A15">INDEX('Teams Master'!$C$2:$C$14,INT((ROW()-2)/20)+1)</f>
      </c>
      <c r="B15" s="194">
        <f t="shared" si="0"/>
      </c>
      <c r="C15" s="319">
        <v>58</v>
      </c>
      <c r="D15" s="319" t="s">
        <v>1046</v>
      </c>
      <c r="E15" s="319" t="s">
        <v>1047</v>
      </c>
      <c r="F15" s="319" t="s">
        <v>1045</v>
      </c>
      <c r="G15" s="194">
        <f t="shared" si="1"/>
      </c>
      <c r="H15" s="319"/>
      <c r="I15" s="319"/>
      <c r="J15" s="319"/>
      <c r="K15" s="322" cm="1">
        <f t="array" ref="K15">IF(AND($D15="",$E15=""),"",INDEX('Teams Master'!$A$2:$A$14,INT((ROW()-2)/20)+1))</f>
      </c>
      <c r="L15" s="322" cm="1">
        <f t="array" ref="L15">IF(AND($D15="",$E15=""),"",INDEX('Teams Master'!$D$2:$D$14,INT((ROW()-2)/20)+1))</f>
      </c>
      <c r="M15" s="194">
        <f t="shared" si="2"/>
      </c>
      <c r="N15" s="194">
        <f t="shared" si="3"/>
      </c>
    </row>
    <row r="16" spans="1:16">
      <c r="A16" s="322" cm="1">
        <f t="array" ref="A16">INDEX('Teams Master'!$C$2:$C$14,INT((ROW()-2)/20)+1)</f>
      </c>
      <c r="B16" s="194">
        <f t="shared" si="0"/>
      </c>
      <c r="C16" s="319">
        <v>71</v>
      </c>
      <c r="D16" s="319" t="s">
        <v>1048</v>
      </c>
      <c r="E16" s="319" t="s">
        <v>1049</v>
      </c>
      <c r="F16" s="319" t="s">
        <v>1050</v>
      </c>
      <c r="G16" s="194">
        <f t="shared" si="1"/>
      </c>
      <c r="H16" s="319"/>
      <c r="I16" s="319"/>
      <c r="J16" s="319"/>
      <c r="K16" s="322" cm="1">
        <f t="array" ref="K16">IF(AND($D16="",$E16=""),"",INDEX('Teams Master'!$A$2:$A$14,INT((ROW()-2)/20)+1))</f>
      </c>
      <c r="L16" s="322" cm="1">
        <f t="array" ref="L16">IF(AND($D16="",$E16=""),"",INDEX('Teams Master'!$D$2:$D$14,INT((ROW()-2)/20)+1))</f>
      </c>
      <c r="M16" s="194">
        <f t="shared" si="2"/>
      </c>
      <c r="N16" s="194">
        <f t="shared" si="3"/>
      </c>
    </row>
    <row r="17" spans="1:14">
      <c r="A17" s="322" cm="1">
        <f t="array" ref="A17">INDEX('Teams Master'!$C$2:$C$14,INT((ROW()-2)/20)+1)</f>
      </c>
      <c r="B17" s="194">
        <f t="shared" si="0"/>
      </c>
      <c r="C17" s="319">
        <v>11</v>
      </c>
      <c r="D17" s="319" t="s">
        <v>1051</v>
      </c>
      <c r="E17" s="319" t="s">
        <v>1052</v>
      </c>
      <c r="F17" s="319" t="s">
        <v>1050</v>
      </c>
      <c r="G17" s="194">
        <f t="shared" si="1"/>
      </c>
      <c r="H17" s="319"/>
      <c r="I17" s="319"/>
      <c r="J17" s="319"/>
      <c r="K17" s="322" cm="1">
        <f t="array" ref="K17">IF(AND($D17="",$E17=""),"",INDEX('Teams Master'!$A$2:$A$14,INT((ROW()-2)/20)+1))</f>
      </c>
      <c r="L17" s="322" cm="1">
        <f t="array" ref="L17">IF(AND($D17="",$E17=""),"",INDEX('Teams Master'!$D$2:$D$14,INT((ROW()-2)/20)+1))</f>
      </c>
      <c r="M17" s="194">
        <f t="shared" si="2"/>
      </c>
      <c r="N17" s="194">
        <f t="shared" si="3"/>
      </c>
    </row>
    <row r="18" spans="1:14">
      <c r="A18" s="373" cm="1">
        <f t="array" ref="A18">INDEX('Teams Master'!$C$2:$C$14,INT((ROW()-2)/20)+1)</f>
      </c>
      <c r="B18" s="196">
        <f t="shared" si="0"/>
      </c>
      <c r="C18" s="630"/>
      <c r="D18" s="630" t="s">
        <v>1053</v>
      </c>
      <c r="E18" s="630" t="s">
        <v>1054</v>
      </c>
      <c r="F18" s="630"/>
      <c r="G18" s="196">
        <f t="shared" si="1"/>
      </c>
      <c r="H18" s="630" t="s">
        <v>1055</v>
      </c>
      <c r="I18" s="630" t="s">
        <v>1056</v>
      </c>
      <c r="J18" s="630"/>
      <c r="K18" s="373" cm="1">
        <f t="array" ref="K18">IF(AND($D18="",$E18=""),"",INDEX('Teams Master'!$A$2:$A$14,INT((ROW()-2)/20)+1))</f>
      </c>
      <c r="L18" s="373" cm="1">
        <f t="array" ref="L18">IF(AND($D18="",$E18=""),"",INDEX('Teams Master'!$D$2:$D$14,INT((ROW()-2)/20)+1))</f>
      </c>
      <c r="M18" s="196">
        <f t="shared" si="2"/>
      </c>
      <c r="N18" s="196">
        <f t="shared" si="3"/>
      </c>
    </row>
    <row r="19" spans="1:14">
      <c r="A19" s="373" cm="1">
        <f t="array" ref="A19">INDEX('Teams Master'!$C$2:$C$14,INT((ROW()-2)/20)+1)</f>
      </c>
      <c r="B19" s="196">
        <f t="shared" si="0"/>
      </c>
      <c r="C19" s="630"/>
      <c r="D19" s="630" t="s">
        <v>1057</v>
      </c>
      <c r="E19" s="630" t="s">
        <v>1058</v>
      </c>
      <c r="F19" s="630"/>
      <c r="G19" s="196">
        <f t="shared" si="1"/>
      </c>
      <c r="H19" s="630" t="s">
        <v>1059</v>
      </c>
      <c r="I19" s="630" t="s">
        <v>1060</v>
      </c>
      <c r="J19" s="630"/>
      <c r="K19" s="373" cm="1">
        <f t="array" ref="K19">IF(AND($D19="",$E19=""),"",INDEX('Teams Master'!$A$2:$A$14,INT((ROW()-2)/20)+1))</f>
      </c>
      <c r="L19" s="373" cm="1">
        <f t="array" ref="L19">IF(AND($D19="",$E19=""),"",INDEX('Teams Master'!$D$2:$D$14,INT((ROW()-2)/20)+1))</f>
      </c>
      <c r="M19" s="196">
        <f t="shared" si="2"/>
      </c>
      <c r="N19" s="196">
        <f t="shared" si="3"/>
      </c>
    </row>
    <row r="20" spans="1:14">
      <c r="A20" s="373" cm="1">
        <f t="array" ref="A20">INDEX('Teams Master'!$C$2:$C$14,INT((ROW()-2)/20)+1)</f>
      </c>
      <c r="B20" s="196">
        <f t="shared" si="0"/>
      </c>
      <c r="C20" s="630"/>
      <c r="D20" s="630" t="s">
        <v>1061</v>
      </c>
      <c r="E20" s="630" t="s">
        <v>1023</v>
      </c>
      <c r="F20" s="630"/>
      <c r="G20" s="196">
        <f t="shared" si="1"/>
      </c>
      <c r="H20" s="630" t="s">
        <v>1062</v>
      </c>
      <c r="I20" s="630" t="s">
        <v>1063</v>
      </c>
      <c r="J20" s="630"/>
      <c r="K20" s="373" cm="1">
        <f t="array" ref="K20">IF(AND($D20="",$E20=""),"",INDEX('Teams Master'!$A$2:$A$14,INT((ROW()-2)/20)+1))</f>
      </c>
      <c r="L20" s="373" cm="1">
        <f t="array" ref="L20">IF(AND($D20="",$E20=""),"",INDEX('Teams Master'!$D$2:$D$14,INT((ROW()-2)/20)+1))</f>
      </c>
      <c r="M20" s="196">
        <f t="shared" si="2"/>
      </c>
      <c r="N20" s="196">
        <f t="shared" si="3"/>
      </c>
    </row>
    <row r="21" spans="1:14" ht="15" thickBot="1">
      <c r="A21" s="373" cm="1">
        <f t="array" ref="A21">INDEX('Teams Master'!$C$2:$C$14,INT((ROW()-2)/20)+1)</f>
      </c>
      <c r="B21" s="196">
        <f t="shared" si="0"/>
      </c>
      <c r="C21" s="630"/>
      <c r="D21" s="630" t="s">
        <v>1064</v>
      </c>
      <c r="E21" s="630" t="s">
        <v>1065</v>
      </c>
      <c r="F21" s="630"/>
      <c r="G21" s="196">
        <f t="shared" si="1"/>
      </c>
      <c r="H21" s="630" t="s">
        <v>1066</v>
      </c>
      <c r="I21" s="630" t="s">
        <v>1067</v>
      </c>
      <c r="J21" s="630"/>
      <c r="K21" s="373" cm="1">
        <f t="array" ref="K21">IF(AND($D21="",$E21=""),"",INDEX('Teams Master'!$A$2:$A$14,INT((ROW()-2)/20)+1))</f>
      </c>
      <c r="L21" s="373" cm="1">
        <f t="array" ref="L21">IF(AND($D21="",$E21=""),"",INDEX('Teams Master'!$D$2:$D$14,INT((ROW()-2)/20)+1))</f>
      </c>
      <c r="M21" s="196">
        <f t="shared" si="2"/>
      </c>
      <c r="N21" s="196">
        <f t="shared" si="3"/>
      </c>
    </row>
    <row r="22" spans="1:14">
      <c r="A22" s="627" cm="1">
        <f t="array" ref="A22">INDEX('Teams Master'!$C$2:$C$14,INT((ROW()-2)/20)+1)</f>
      </c>
      <c r="B22" s="628">
        <f t="shared" si="0"/>
      </c>
      <c r="C22" s="629">
        <v>1</v>
      </c>
      <c r="D22" s="629" t="s">
        <v>1068</v>
      </c>
      <c r="E22" s="629" t="s">
        <v>1069</v>
      </c>
      <c r="F22" s="629" t="s">
        <v>1014</v>
      </c>
      <c r="G22" s="628">
        <f t="shared" si="1"/>
      </c>
      <c r="H22" s="629"/>
      <c r="I22" s="629"/>
      <c r="J22" s="629"/>
      <c r="K22" s="627" cm="1">
        <f t="array" ref="K22">IF(AND($D22="",$E22=""),"",INDEX('Teams Master'!$A$2:$A$14,INT((ROW()-2)/20)+1))</f>
      </c>
      <c r="L22" s="627" cm="1">
        <f t="array" ref="L22">IF(AND($D22="",$E22=""),"",INDEX('Teams Master'!$D$2:$D$14,INT((ROW()-2)/20)+1))</f>
      </c>
      <c r="M22" s="628">
        <f t="shared" si="2"/>
      </c>
      <c r="N22" s="628">
        <f t="shared" si="3"/>
      </c>
    </row>
    <row r="23" spans="1:14">
      <c r="A23" s="322" cm="1">
        <f t="array" ref="A23">INDEX('Teams Master'!$C$2:$C$14,INT((ROW()-2)/20)+1)</f>
      </c>
      <c r="B23" s="194">
        <f t="shared" si="0"/>
      </c>
      <c r="C23" s="319">
        <v>12</v>
      </c>
      <c r="D23" s="319" t="s">
        <v>1070</v>
      </c>
      <c r="E23" s="319" t="s">
        <v>1071</v>
      </c>
      <c r="F23" s="319" t="s">
        <v>1014</v>
      </c>
      <c r="G23" s="194">
        <f t="shared" si="1"/>
      </c>
      <c r="H23" s="319"/>
      <c r="I23" s="319"/>
      <c r="J23" s="319"/>
      <c r="K23" s="322" cm="1">
        <f t="array" ref="K23">IF(AND($D23="",$E23=""),"",INDEX('Teams Master'!$A$2:$A$14,INT((ROW()-2)/20)+1))</f>
      </c>
      <c r="L23" s="322" cm="1">
        <f t="array" ref="L23">IF(AND($D23="",$E23=""),"",INDEX('Teams Master'!$D$2:$D$14,INT((ROW()-2)/20)+1))</f>
      </c>
      <c r="M23" s="194">
        <f t="shared" si="2"/>
      </c>
      <c r="N23" s="194">
        <f t="shared" si="3"/>
      </c>
    </row>
    <row r="24" spans="1:14">
      <c r="A24" s="322" cm="1">
        <f t="array" ref="A24">INDEX('Teams Master'!$C$2:$C$14,INT((ROW()-2)/20)+1)</f>
      </c>
      <c r="B24" s="194">
        <f t="shared" si="0"/>
      </c>
      <c r="C24" s="319">
        <v>39</v>
      </c>
      <c r="D24" s="319" t="s">
        <v>1051</v>
      </c>
      <c r="E24" s="319" t="s">
        <v>1072</v>
      </c>
      <c r="F24" s="319" t="s">
        <v>1021</v>
      </c>
      <c r="G24" s="194">
        <f t="shared" si="1"/>
      </c>
      <c r="H24" s="319"/>
      <c r="I24" s="319"/>
      <c r="J24" s="319"/>
      <c r="K24" s="322" cm="1">
        <f t="array" ref="K24">IF(AND($D24="",$E24=""),"",INDEX('Teams Master'!$A$2:$A$14,INT((ROW()-2)/20)+1))</f>
      </c>
      <c r="L24" s="322" cm="1">
        <f t="array" ref="L24">IF(AND($D24="",$E24=""),"",INDEX('Teams Master'!$D$2:$D$14,INT((ROW()-2)/20)+1))</f>
      </c>
      <c r="M24" s="194">
        <f t="shared" si="2"/>
      </c>
      <c r="N24" s="194">
        <f t="shared" si="3"/>
      </c>
    </row>
    <row r="25" spans="1:14">
      <c r="A25" s="322" cm="1">
        <f t="array" ref="A25">INDEX('Teams Master'!$C$2:$C$14,INT((ROW()-2)/20)+1)</f>
      </c>
      <c r="B25" s="194">
        <f t="shared" si="0"/>
      </c>
      <c r="C25" s="319">
        <v>53</v>
      </c>
      <c r="D25" s="319" t="s">
        <v>1073</v>
      </c>
      <c r="E25" s="319" t="s">
        <v>1074</v>
      </c>
      <c r="F25" s="319" t="s">
        <v>1021</v>
      </c>
      <c r="G25" s="194">
        <f t="shared" si="1"/>
      </c>
      <c r="H25" s="319"/>
      <c r="I25" s="319"/>
      <c r="J25" s="319"/>
      <c r="K25" s="322" cm="1">
        <f t="array" ref="K25">IF(AND($D25="",$E25=""),"",INDEX('Teams Master'!$A$2:$A$14,INT((ROW()-2)/20)+1))</f>
      </c>
      <c r="L25" s="322" cm="1">
        <f t="array" ref="L25">IF(AND($D25="",$E25=""),"",INDEX('Teams Master'!$D$2:$D$14,INT((ROW()-2)/20)+1))</f>
      </c>
      <c r="M25" s="194">
        <f t="shared" si="2"/>
      </c>
      <c r="N25" s="194">
        <f t="shared" si="3"/>
      </c>
    </row>
    <row r="26" spans="1:14">
      <c r="A26" s="322" cm="1">
        <f t="array" ref="A26">INDEX('Teams Master'!$C$2:$C$14,INT((ROW()-2)/20)+1)</f>
      </c>
      <c r="B26" s="194">
        <f t="shared" si="0"/>
      </c>
      <c r="C26" s="319">
        <v>80</v>
      </c>
      <c r="D26" s="319" t="s">
        <v>1075</v>
      </c>
      <c r="E26" s="319" t="s">
        <v>1076</v>
      </c>
      <c r="F26" s="319" t="s">
        <v>1026</v>
      </c>
      <c r="G26" s="194">
        <f t="shared" si="1"/>
      </c>
      <c r="H26" s="319"/>
      <c r="I26" s="319"/>
      <c r="J26" s="319"/>
      <c r="K26" s="322" cm="1">
        <f t="array" ref="K26">IF(AND($D26="",$E26=""),"",INDEX('Teams Master'!$A$2:$A$14,INT((ROW()-2)/20)+1))</f>
      </c>
      <c r="L26" s="322" cm="1">
        <f t="array" ref="L26">IF(AND($D26="",$E26=""),"",INDEX('Teams Master'!$D$2:$D$14,INT((ROW()-2)/20)+1))</f>
      </c>
      <c r="M26" s="194">
        <f t="shared" si="2"/>
      </c>
      <c r="N26" s="194">
        <f t="shared" si="3"/>
      </c>
    </row>
    <row r="27" spans="1:14">
      <c r="A27" s="322" cm="1">
        <f t="array" ref="A27">INDEX('Teams Master'!$C$2:$C$14,INT((ROW()-2)/20)+1)</f>
      </c>
      <c r="B27" s="194">
        <f t="shared" si="0"/>
      </c>
      <c r="C27" s="319">
        <v>13</v>
      </c>
      <c r="D27" s="319" t="s">
        <v>1077</v>
      </c>
      <c r="E27" s="319" t="s">
        <v>1078</v>
      </c>
      <c r="F27" s="319" t="s">
        <v>1026</v>
      </c>
      <c r="G27" s="194">
        <f t="shared" si="1"/>
      </c>
      <c r="H27" s="319"/>
      <c r="I27" s="319"/>
      <c r="J27" s="319"/>
      <c r="K27" s="322" cm="1">
        <f t="array" ref="K27">IF(AND($D27="",$E27=""),"",INDEX('Teams Master'!$A$2:$A$14,INT((ROW()-2)/20)+1))</f>
      </c>
      <c r="L27" s="322" cm="1">
        <f t="array" ref="L27">IF(AND($D27="",$E27=""),"",INDEX('Teams Master'!$D$2:$D$14,INT((ROW()-2)/20)+1))</f>
      </c>
      <c r="M27" s="194">
        <f t="shared" si="2"/>
      </c>
      <c r="N27" s="194">
        <f t="shared" si="3"/>
      </c>
    </row>
    <row r="28" spans="1:14">
      <c r="A28" s="322" cm="1">
        <f t="array" ref="A28">INDEX('Teams Master'!$C$2:$C$14,INT((ROW()-2)/20)+1)</f>
      </c>
      <c r="B28" s="194">
        <f t="shared" si="0"/>
      </c>
      <c r="C28" s="319">
        <v>49</v>
      </c>
      <c r="D28" s="319" t="s">
        <v>1079</v>
      </c>
      <c r="E28" s="319" t="s">
        <v>1080</v>
      </c>
      <c r="F28" s="319" t="s">
        <v>1026</v>
      </c>
      <c r="G28" s="194">
        <f t="shared" si="1"/>
      </c>
      <c r="H28" s="319"/>
      <c r="I28" s="319"/>
      <c r="J28" s="319"/>
      <c r="K28" s="322" cm="1">
        <f t="array" ref="K28">IF(AND($D28="",$E28=""),"",INDEX('Teams Master'!$A$2:$A$14,INT((ROW()-2)/20)+1))</f>
      </c>
      <c r="L28" s="322" cm="1">
        <f t="array" ref="L28">IF(AND($D28="",$E28=""),"",INDEX('Teams Master'!$D$2:$D$14,INT((ROW()-2)/20)+1))</f>
      </c>
      <c r="M28" s="194">
        <f t="shared" si="2"/>
      </c>
      <c r="N28" s="194">
        <f t="shared" si="3"/>
      </c>
    </row>
    <row r="29" spans="1:14">
      <c r="A29" s="322" cm="1">
        <f t="array" ref="A29">INDEX('Teams Master'!$C$2:$C$14,INT((ROW()-2)/20)+1)</f>
      </c>
      <c r="B29" s="194">
        <f t="shared" si="0"/>
      </c>
      <c r="C29" s="319">
        <v>83</v>
      </c>
      <c r="D29" s="319" t="s">
        <v>1081</v>
      </c>
      <c r="E29" s="319" t="s">
        <v>1082</v>
      </c>
      <c r="F29" s="319" t="s">
        <v>1033</v>
      </c>
      <c r="G29" s="194">
        <f t="shared" si="1"/>
      </c>
      <c r="H29" s="319"/>
      <c r="I29" s="319"/>
      <c r="J29" s="319"/>
      <c r="K29" s="322" cm="1">
        <f t="array" ref="K29">IF(AND($D29="",$E29=""),"",INDEX('Teams Master'!$A$2:$A$14,INT((ROW()-2)/20)+1))</f>
      </c>
      <c r="L29" s="322" cm="1">
        <f t="array" ref="L29">IF(AND($D29="",$E29=""),"",INDEX('Teams Master'!$D$2:$D$14,INT((ROW()-2)/20)+1))</f>
      </c>
      <c r="M29" s="194">
        <f t="shared" si="2"/>
      </c>
      <c r="N29" s="194">
        <f t="shared" si="3"/>
      </c>
    </row>
    <row r="30" spans="1:14">
      <c r="A30" s="322" cm="1">
        <f t="array" ref="A30">INDEX('Teams Master'!$C$2:$C$14,INT((ROW()-2)/20)+1)</f>
      </c>
      <c r="B30" s="194">
        <f t="shared" si="0"/>
      </c>
      <c r="C30" s="319">
        <v>50</v>
      </c>
      <c r="D30" s="319" t="s">
        <v>1083</v>
      </c>
      <c r="E30" s="319" t="s">
        <v>1084</v>
      </c>
      <c r="F30" s="319" t="s">
        <v>1033</v>
      </c>
      <c r="G30" s="194">
        <f t="shared" si="1"/>
      </c>
      <c r="H30" s="319"/>
      <c r="I30" s="319"/>
      <c r="J30" s="319"/>
      <c r="K30" s="322" cm="1">
        <f t="array" ref="K30">IF(AND($D30="",$E30=""),"",INDEX('Teams Master'!$A$2:$A$14,INT((ROW()-2)/20)+1))</f>
      </c>
      <c r="L30" s="322" cm="1">
        <f t="array" ref="L30">IF(AND($D30="",$E30=""),"",INDEX('Teams Master'!$D$2:$D$14,INT((ROW()-2)/20)+1))</f>
      </c>
      <c r="M30" s="194">
        <f t="shared" si="2"/>
      </c>
      <c r="N30" s="194">
        <f t="shared" si="3"/>
      </c>
    </row>
    <row r="31" spans="1:14">
      <c r="A31" s="322" cm="1">
        <f t="array" ref="A31">INDEX('Teams Master'!$C$2:$C$14,INT((ROW()-2)/20)+1)</f>
      </c>
      <c r="B31" s="194">
        <f t="shared" si="0"/>
      </c>
      <c r="C31" s="319">
        <v>55</v>
      </c>
      <c r="D31" s="319" t="s">
        <v>1085</v>
      </c>
      <c r="E31" s="319" t="s">
        <v>1086</v>
      </c>
      <c r="F31" s="319" t="s">
        <v>1033</v>
      </c>
      <c r="G31" s="194">
        <f t="shared" si="1"/>
      </c>
      <c r="H31" s="319"/>
      <c r="I31" s="319"/>
      <c r="J31" s="319"/>
      <c r="K31" s="322" cm="1">
        <f t="array" ref="K31">IF(AND($D31="",$E31=""),"",INDEX('Teams Master'!$A$2:$A$14,INT((ROW()-2)/20)+1))</f>
      </c>
      <c r="L31" s="322" cm="1">
        <f t="array" ref="L31">IF(AND($D31="",$E31=""),"",INDEX('Teams Master'!$D$2:$D$14,INT((ROW()-2)/20)+1))</f>
      </c>
      <c r="M31" s="194">
        <f t="shared" si="2"/>
      </c>
      <c r="N31" s="194">
        <f t="shared" si="3"/>
      </c>
    </row>
    <row r="32" spans="1:14">
      <c r="A32" s="322" cm="1">
        <f t="array" ref="A32">INDEX('Teams Master'!$C$2:$C$14,INT((ROW()-2)/20)+1)</f>
      </c>
      <c r="B32" s="194">
        <f t="shared" si="0"/>
      </c>
      <c r="C32" s="319">
        <v>46</v>
      </c>
      <c r="D32" s="319" t="s">
        <v>1079</v>
      </c>
      <c r="E32" s="319" t="s">
        <v>1087</v>
      </c>
      <c r="F32" s="319" t="s">
        <v>1040</v>
      </c>
      <c r="G32" s="194">
        <f t="shared" si="1"/>
      </c>
      <c r="H32" s="319"/>
      <c r="I32" s="319"/>
      <c r="J32" s="319"/>
      <c r="K32" s="322" cm="1">
        <f t="array" ref="K32">IF(AND($D32="",$E32=""),"",INDEX('Teams Master'!$A$2:$A$14,INT((ROW()-2)/20)+1))</f>
      </c>
      <c r="L32" s="322" cm="1">
        <f t="array" ref="L32">IF(AND($D32="",$E32=""),"",INDEX('Teams Master'!$D$2:$D$14,INT((ROW()-2)/20)+1))</f>
      </c>
      <c r="M32" s="194">
        <f t="shared" si="2"/>
      </c>
      <c r="N32" s="194">
        <f t="shared" si="3"/>
      </c>
    </row>
    <row r="33" spans="1:14">
      <c r="A33" s="322" cm="1">
        <f t="array" ref="A33">INDEX('Teams Master'!$C$2:$C$14,INT((ROW()-2)/20)+1)</f>
      </c>
      <c r="B33" s="194">
        <f t="shared" si="0"/>
      </c>
      <c r="C33" s="319">
        <v>19</v>
      </c>
      <c r="D33" s="319" t="s">
        <v>1088</v>
      </c>
      <c r="E33" s="319" t="s">
        <v>1089</v>
      </c>
      <c r="F33" s="319" t="s">
        <v>1040</v>
      </c>
      <c r="G33" s="194">
        <f t="shared" si="1"/>
      </c>
      <c r="H33" s="319"/>
      <c r="I33" s="319"/>
      <c r="J33" s="319"/>
      <c r="K33" s="322" cm="1">
        <f t="array" ref="K33">IF(AND($D33="",$E33=""),"",INDEX('Teams Master'!$A$2:$A$14,INT((ROW()-2)/20)+1))</f>
      </c>
      <c r="L33" s="322" cm="1">
        <f t="array" ref="L33">IF(AND($D33="",$E33=""),"",INDEX('Teams Master'!$D$2:$D$14,INT((ROW()-2)/20)+1))</f>
      </c>
      <c r="M33" s="194">
        <f t="shared" si="2"/>
      </c>
      <c r="N33" s="194">
        <f t="shared" si="3"/>
      </c>
    </row>
    <row r="34" spans="1:14">
      <c r="A34" s="322" cm="1">
        <f t="array" ref="A34">INDEX('Teams Master'!$C$2:$C$14,INT((ROW()-2)/20)+1)</f>
      </c>
      <c r="B34" s="194">
        <f t="shared" si="0"/>
      </c>
      <c r="C34" s="319">
        <v>75</v>
      </c>
      <c r="D34" s="319" t="s">
        <v>1090</v>
      </c>
      <c r="E34" s="319" t="s">
        <v>1091</v>
      </c>
      <c r="F34" s="319" t="s">
        <v>1045</v>
      </c>
      <c r="G34" s="194">
        <f t="shared" si="1"/>
      </c>
      <c r="H34" s="319"/>
      <c r="I34" s="319"/>
      <c r="J34" s="319"/>
      <c r="K34" s="322" cm="1">
        <f t="array" ref="K34">IF(AND($D34="",$E34=""),"",INDEX('Teams Master'!$A$2:$A$14,INT((ROW()-2)/20)+1))</f>
      </c>
      <c r="L34" s="322" cm="1">
        <f t="array" ref="L34">IF(AND($D34="",$E34=""),"",INDEX('Teams Master'!$D$2:$D$14,INT((ROW()-2)/20)+1))</f>
      </c>
      <c r="M34" s="194">
        <f t="shared" si="2"/>
      </c>
      <c r="N34" s="194">
        <f t="shared" si="3"/>
      </c>
    </row>
    <row r="35" spans="1:14">
      <c r="A35" s="322" cm="1">
        <f t="array" ref="A35">INDEX('Teams Master'!$C$2:$C$14,INT((ROW()-2)/20)+1)</f>
      </c>
      <c r="B35" s="194">
        <f t="shared" si="0"/>
      </c>
      <c r="C35" s="319">
        <v>8</v>
      </c>
      <c r="D35" s="319" t="s">
        <v>1092</v>
      </c>
      <c r="E35" s="319" t="s">
        <v>1093</v>
      </c>
      <c r="F35" s="319" t="s">
        <v>1045</v>
      </c>
      <c r="G35" s="194">
        <f t="shared" si="1"/>
      </c>
      <c r="H35" s="319"/>
      <c r="I35" s="319"/>
      <c r="J35" s="319"/>
      <c r="K35" s="322" cm="1">
        <f t="array" ref="K35">IF(AND($D35="",$E35=""),"",INDEX('Teams Master'!$A$2:$A$14,INT((ROW()-2)/20)+1))</f>
      </c>
      <c r="L35" s="322" cm="1">
        <f t="array" ref="L35">IF(AND($D35="",$E35=""),"",INDEX('Teams Master'!$D$2:$D$14,INT((ROW()-2)/20)+1))</f>
      </c>
      <c r="M35" s="194">
        <f t="shared" si="2"/>
      </c>
      <c r="N35" s="194">
        <f t="shared" si="3"/>
      </c>
    </row>
    <row r="36" spans="1:14">
      <c r="A36" s="322" cm="1">
        <f t="array" ref="A36">INDEX('Teams Master'!$C$2:$C$14,INT((ROW()-2)/20)+1)</f>
      </c>
      <c r="B36" s="194">
        <f t="shared" si="0"/>
      </c>
      <c r="C36" s="319">
        <v>6</v>
      </c>
      <c r="D36" s="319" t="s">
        <v>1094</v>
      </c>
      <c r="E36" s="319" t="s">
        <v>1095</v>
      </c>
      <c r="F36" s="319" t="s">
        <v>1050</v>
      </c>
      <c r="G36" s="194">
        <f t="shared" si="1"/>
      </c>
      <c r="H36" s="319"/>
      <c r="I36" s="319"/>
      <c r="J36" s="319"/>
      <c r="K36" s="322" cm="1">
        <f t="array" ref="K36">IF(AND($D36="",$E36=""),"",INDEX('Teams Master'!$A$2:$A$14,INT((ROW()-2)/20)+1))</f>
      </c>
      <c r="L36" s="322" cm="1">
        <f t="array" ref="L36">IF(AND($D36="",$E36=""),"",INDEX('Teams Master'!$D$2:$D$14,INT((ROW()-2)/20)+1))</f>
      </c>
      <c r="M36" s="194">
        <f t="shared" si="2"/>
      </c>
      <c r="N36" s="194">
        <f t="shared" si="3"/>
      </c>
    </row>
    <row r="37" spans="1:14">
      <c r="A37" s="322" cm="1">
        <f t="array" ref="A37">INDEX('Teams Master'!$C$2:$C$14,INT((ROW()-2)/20)+1)</f>
      </c>
      <c r="B37" s="194">
        <f t="shared" si="0"/>
      </c>
      <c r="C37" s="319">
        <v>25</v>
      </c>
      <c r="D37" s="319" t="s">
        <v>1096</v>
      </c>
      <c r="E37" s="319" t="s">
        <v>1097</v>
      </c>
      <c r="F37" s="319" t="s">
        <v>1050</v>
      </c>
      <c r="G37" s="194">
        <f t="shared" si="1"/>
      </c>
      <c r="H37" s="319"/>
      <c r="I37" s="319"/>
      <c r="J37" s="319"/>
      <c r="K37" s="322" cm="1">
        <f t="array" ref="K37">IF(AND($D37="",$E37=""),"",INDEX('Teams Master'!$A$2:$A$14,INT((ROW()-2)/20)+1))</f>
      </c>
      <c r="L37" s="322" cm="1">
        <f t="array" ref="L37">IF(AND($D37="",$E37=""),"",INDEX('Teams Master'!$D$2:$D$14,INT((ROW()-2)/20)+1))</f>
      </c>
      <c r="M37" s="194">
        <f t="shared" si="2"/>
      </c>
      <c r="N37" s="194">
        <f t="shared" si="3"/>
      </c>
    </row>
    <row r="38" spans="1:14">
      <c r="A38" s="373" cm="1">
        <f t="array" ref="A38">INDEX('Teams Master'!$C$2:$C$14,INT((ROW()-2)/20)+1)</f>
      </c>
      <c r="B38" s="196">
        <f t="shared" si="0"/>
      </c>
      <c r="C38" s="630"/>
      <c r="D38" s="630" t="s">
        <v>1098</v>
      </c>
      <c r="E38" s="630" t="s">
        <v>1099</v>
      </c>
      <c r="F38" s="630"/>
      <c r="G38" s="196">
        <f t="shared" si="1"/>
      </c>
      <c r="H38" s="630" t="s">
        <v>1100</v>
      </c>
      <c r="I38" s="630" t="s">
        <v>1101</v>
      </c>
      <c r="J38" s="630"/>
      <c r="K38" s="373" cm="1">
        <f t="array" ref="K38">IF(AND($D38="",$E38=""),"",INDEX('Teams Master'!$A$2:$A$14,INT((ROW()-2)/20)+1))</f>
      </c>
      <c r="L38" s="373" cm="1">
        <f t="array" ref="L38">IF(AND($D38="",$E38=""),"",INDEX('Teams Master'!$D$2:$D$14,INT((ROW()-2)/20)+1))</f>
      </c>
      <c r="M38" s="196">
        <f t="shared" si="2"/>
      </c>
      <c r="N38" s="196">
        <f t="shared" si="3"/>
      </c>
    </row>
    <row r="39" spans="1:14">
      <c r="A39" s="373" cm="1">
        <f t="array" ref="A39">INDEX('Teams Master'!$C$2:$C$14,INT((ROW()-2)/20)+1)</f>
      </c>
      <c r="B39" s="196">
        <f t="shared" si="0"/>
      </c>
      <c r="C39" s="630"/>
      <c r="D39" s="630" t="s">
        <v>1102</v>
      </c>
      <c r="E39" s="630" t="s">
        <v>1099</v>
      </c>
      <c r="F39" s="630"/>
      <c r="G39" s="196">
        <f t="shared" si="1"/>
      </c>
      <c r="H39" s="630" t="s">
        <v>1103</v>
      </c>
      <c r="I39" s="630" t="s">
        <v>1104</v>
      </c>
      <c r="J39" s="630"/>
      <c r="K39" s="373" cm="1">
        <f t="array" ref="K39">IF(AND($D39="",$E39=""),"",INDEX('Teams Master'!$A$2:$A$14,INT((ROW()-2)/20)+1))</f>
      </c>
      <c r="L39" s="373" cm="1">
        <f t="array" ref="L39">IF(AND($D39="",$E39=""),"",INDEX('Teams Master'!$D$2:$D$14,INT((ROW()-2)/20)+1))</f>
      </c>
      <c r="M39" s="196">
        <f t="shared" si="2"/>
      </c>
      <c r="N39" s="196">
        <f t="shared" si="3"/>
      </c>
    </row>
    <row r="40" spans="1:14">
      <c r="A40" s="373" cm="1">
        <f t="array" ref="A40">INDEX('Teams Master'!$C$2:$C$14,INT((ROW()-2)/20)+1)</f>
      </c>
      <c r="B40" s="196">
        <f t="shared" si="0"/>
      </c>
      <c r="C40" s="630"/>
      <c r="D40" s="630" t="s">
        <v>1105</v>
      </c>
      <c r="E40" s="630" t="s">
        <v>1013</v>
      </c>
      <c r="F40" s="630"/>
      <c r="G40" s="196">
        <f t="shared" si="1"/>
      </c>
      <c r="H40" s="630" t="s">
        <v>1106</v>
      </c>
      <c r="I40" s="630" t="s">
        <v>1107</v>
      </c>
      <c r="J40" s="630"/>
      <c r="K40" s="373" cm="1">
        <f t="array" ref="K40">IF(AND($D40="",$E40=""),"",INDEX('Teams Master'!$A$2:$A$14,INT((ROW()-2)/20)+1))</f>
      </c>
      <c r="L40" s="373" cm="1">
        <f t="array" ref="L40">IF(AND($D40="",$E40=""),"",INDEX('Teams Master'!$D$2:$D$14,INT((ROW()-2)/20)+1))</f>
      </c>
      <c r="M40" s="196">
        <f t="shared" si="2"/>
      </c>
      <c r="N40" s="196">
        <f t="shared" si="3"/>
      </c>
    </row>
    <row r="41" spans="1:14" ht="15" thickBot="1">
      <c r="A41" s="373" cm="1">
        <f t="array" ref="A41">INDEX('Teams Master'!$C$2:$C$14,INT((ROW()-2)/20)+1)</f>
      </c>
      <c r="B41" s="196">
        <f t="shared" si="0"/>
      </c>
      <c r="C41" s="630"/>
      <c r="D41" s="630" t="s">
        <v>1108</v>
      </c>
      <c r="E41" s="630" t="s">
        <v>1039</v>
      </c>
      <c r="F41" s="630"/>
      <c r="G41" s="196">
        <f t="shared" si="1"/>
      </c>
      <c r="H41" s="630" t="s">
        <v>1109</v>
      </c>
      <c r="I41" s="630" t="s">
        <v>1110</v>
      </c>
      <c r="J41" s="630"/>
      <c r="K41" s="373" cm="1">
        <f t="array" ref="K41">IF(AND($D41="",$E41=""),"",INDEX('Teams Master'!$A$2:$A$14,INT((ROW()-2)/20)+1))</f>
      </c>
      <c r="L41" s="373" cm="1">
        <f t="array" ref="L41">IF(AND($D41="",$E41=""),"",INDEX('Teams Master'!$D$2:$D$14,INT((ROW()-2)/20)+1))</f>
      </c>
      <c r="M41" s="196">
        <f t="shared" si="2"/>
      </c>
      <c r="N41" s="196">
        <f t="shared" si="3"/>
      </c>
    </row>
    <row r="42" spans="1:14">
      <c r="A42" s="627" cm="1">
        <f t="array" ref="A42">INDEX('Teams Master'!$C$2:$C$14,INT((ROW()-2)/20)+1)</f>
      </c>
      <c r="B42" s="628">
        <f t="shared" si="0"/>
      </c>
      <c r="C42" s="629">
        <v>1</v>
      </c>
      <c r="D42" s="629" t="s">
        <v>1092</v>
      </c>
      <c r="E42" s="629" t="s">
        <v>1111</v>
      </c>
      <c r="F42" s="629" t="s">
        <v>1014</v>
      </c>
      <c r="G42" s="628">
        <f t="shared" si="1"/>
      </c>
      <c r="H42" s="629"/>
      <c r="I42" s="629"/>
      <c r="J42" s="629"/>
      <c r="K42" s="627" cm="1">
        <f t="array" ref="K42">IF(AND($D42="",$E42=""),"",INDEX('Teams Master'!$A$2:$A$14,INT((ROW()-2)/20)+1))</f>
      </c>
      <c r="L42" s="627" cm="1">
        <f t="array" ref="L42">IF(AND($D42="",$E42=""),"",INDEX('Teams Master'!$D$2:$D$14,INT((ROW()-2)/20)+1))</f>
      </c>
      <c r="M42" s="628">
        <f t="shared" si="2"/>
      </c>
      <c r="N42" s="628">
        <f t="shared" si="3"/>
      </c>
    </row>
    <row r="43" spans="1:14">
      <c r="A43" s="322" cm="1">
        <f t="array" ref="A43">INDEX('Teams Master'!$C$2:$C$14,INT((ROW()-2)/20)+1)</f>
      </c>
      <c r="B43" s="194">
        <f t="shared" si="0"/>
      </c>
      <c r="C43" s="319">
        <v>12</v>
      </c>
      <c r="D43" s="319" t="s">
        <v>1112</v>
      </c>
      <c r="E43" s="319" t="s">
        <v>1113</v>
      </c>
      <c r="F43" s="319" t="s">
        <v>1014</v>
      </c>
      <c r="G43" s="194">
        <f t="shared" si="1"/>
      </c>
      <c r="H43" s="319"/>
      <c r="I43" s="319"/>
      <c r="J43" s="319"/>
      <c r="K43" s="322" cm="1">
        <f t="array" ref="K43">IF(AND($D43="",$E43=""),"",INDEX('Teams Master'!$A$2:$A$14,INT((ROW()-2)/20)+1))</f>
      </c>
      <c r="L43" s="322" cm="1">
        <f t="array" ref="L43">IF(AND($D43="",$E43=""),"",INDEX('Teams Master'!$D$2:$D$14,INT((ROW()-2)/20)+1))</f>
      </c>
      <c r="M43" s="194">
        <f t="shared" si="2"/>
      </c>
      <c r="N43" s="194">
        <f t="shared" si="3"/>
      </c>
    </row>
    <row r="44" spans="1:14">
      <c r="A44" s="322" cm="1">
        <f t="array" ref="A44">INDEX('Teams Master'!$C$2:$C$14,INT((ROW()-2)/20)+1)</f>
      </c>
      <c r="B44" s="194">
        <f t="shared" si="0"/>
      </c>
      <c r="C44" s="319">
        <v>90</v>
      </c>
      <c r="D44" s="319" t="s">
        <v>1077</v>
      </c>
      <c r="E44" s="319" t="s">
        <v>1114</v>
      </c>
      <c r="F44" s="319" t="s">
        <v>1021</v>
      </c>
      <c r="G44" s="194">
        <f t="shared" si="1"/>
      </c>
      <c r="H44" s="319"/>
      <c r="I44" s="319"/>
      <c r="J44" s="319"/>
      <c r="K44" s="322" cm="1">
        <f t="array" ref="K44">IF(AND($D44="",$E44=""),"",INDEX('Teams Master'!$A$2:$A$14,INT((ROW()-2)/20)+1))</f>
      </c>
      <c r="L44" s="322" cm="1">
        <f t="array" ref="L44">IF(AND($D44="",$E44=""),"",INDEX('Teams Master'!$D$2:$D$14,INT((ROW()-2)/20)+1))</f>
      </c>
      <c r="M44" s="194">
        <f t="shared" si="2"/>
      </c>
      <c r="N44" s="194">
        <f t="shared" si="3"/>
      </c>
    </row>
    <row r="45" spans="1:14">
      <c r="A45" s="322" cm="1">
        <f t="array" ref="A45">INDEX('Teams Master'!$C$2:$C$14,INT((ROW()-2)/20)+1)</f>
      </c>
      <c r="B45" s="194">
        <f t="shared" si="0"/>
      </c>
      <c r="C45" s="319">
        <v>25</v>
      </c>
      <c r="D45" s="319" t="s">
        <v>1112</v>
      </c>
      <c r="E45" s="319" t="s">
        <v>1115</v>
      </c>
      <c r="F45" s="319" t="s">
        <v>1021</v>
      </c>
      <c r="G45" s="194">
        <f t="shared" si="1"/>
      </c>
      <c r="H45" s="319"/>
      <c r="I45" s="319"/>
      <c r="J45" s="319"/>
      <c r="K45" s="322" cm="1">
        <f t="array" ref="K45">IF(AND($D45="",$E45=""),"",INDEX('Teams Master'!$A$2:$A$14,INT((ROW()-2)/20)+1))</f>
      </c>
      <c r="L45" s="322" cm="1">
        <f t="array" ref="L45">IF(AND($D45="",$E45=""),"",INDEX('Teams Master'!$D$2:$D$14,INT((ROW()-2)/20)+1))</f>
      </c>
      <c r="M45" s="194">
        <f t="shared" si="2"/>
      </c>
      <c r="N45" s="194">
        <f t="shared" si="3"/>
      </c>
    </row>
    <row r="46" spans="1:14">
      <c r="A46" s="322" cm="1">
        <f t="array" ref="A46">INDEX('Teams Master'!$C$2:$C$14,INT((ROW()-2)/20)+1)</f>
      </c>
      <c r="B46" s="194">
        <f t="shared" si="0"/>
      </c>
      <c r="C46" s="319">
        <v>58</v>
      </c>
      <c r="D46" s="319" t="s">
        <v>1081</v>
      </c>
      <c r="E46" s="319" t="s">
        <v>1116</v>
      </c>
      <c r="F46" s="319" t="s">
        <v>1026</v>
      </c>
      <c r="G46" s="194">
        <f t="shared" si="1"/>
      </c>
      <c r="H46" s="319"/>
      <c r="I46" s="319"/>
      <c r="J46" s="319"/>
      <c r="K46" s="322" cm="1">
        <f t="array" ref="K46">IF(AND($D46="",$E46=""),"",INDEX('Teams Master'!$A$2:$A$14,INT((ROW()-2)/20)+1))</f>
      </c>
      <c r="L46" s="322" cm="1">
        <f t="array" ref="L46">IF(AND($D46="",$E46=""),"",INDEX('Teams Master'!$D$2:$D$14,INT((ROW()-2)/20)+1))</f>
      </c>
      <c r="M46" s="194">
        <f t="shared" si="2"/>
      </c>
      <c r="N46" s="194">
        <f t="shared" si="3"/>
      </c>
    </row>
    <row r="47" spans="1:14">
      <c r="A47" s="322" cm="1">
        <f t="array" ref="A47">INDEX('Teams Master'!$C$2:$C$14,INT((ROW()-2)/20)+1)</f>
      </c>
      <c r="B47" s="194">
        <f t="shared" si="0"/>
      </c>
      <c r="C47" s="319">
        <v>69</v>
      </c>
      <c r="D47" s="319" t="s">
        <v>1117</v>
      </c>
      <c r="E47" s="319" t="s">
        <v>1118</v>
      </c>
      <c r="F47" s="319" t="s">
        <v>1026</v>
      </c>
      <c r="G47" s="194">
        <f t="shared" si="1"/>
      </c>
      <c r="H47" s="319"/>
      <c r="I47" s="319"/>
      <c r="J47" s="319"/>
      <c r="K47" s="322" cm="1">
        <f t="array" ref="K47">IF(AND($D47="",$E47=""),"",INDEX('Teams Master'!$A$2:$A$14,INT((ROW()-2)/20)+1))</f>
      </c>
      <c r="L47" s="322" cm="1">
        <f t="array" ref="L47">IF(AND($D47="",$E47=""),"",INDEX('Teams Master'!$D$2:$D$14,INT((ROW()-2)/20)+1))</f>
      </c>
      <c r="M47" s="194">
        <f t="shared" si="2"/>
      </c>
      <c r="N47" s="194">
        <f t="shared" si="3"/>
      </c>
    </row>
    <row r="48" spans="1:14">
      <c r="A48" s="322" cm="1">
        <f t="array" ref="A48">INDEX('Teams Master'!$C$2:$C$14,INT((ROW()-2)/20)+1)</f>
      </c>
      <c r="B48" s="194">
        <f t="shared" si="0"/>
      </c>
      <c r="C48" s="319">
        <v>30</v>
      </c>
      <c r="D48" s="319" t="s">
        <v>1088</v>
      </c>
      <c r="E48" s="319" t="s">
        <v>1119</v>
      </c>
      <c r="F48" s="319" t="s">
        <v>1026</v>
      </c>
      <c r="G48" s="194">
        <f t="shared" si="1"/>
      </c>
      <c r="H48" s="319"/>
      <c r="I48" s="319"/>
      <c r="J48" s="319"/>
      <c r="K48" s="322" cm="1">
        <f t="array" ref="K48">IF(AND($D48="",$E48=""),"",INDEX('Teams Master'!$A$2:$A$14,INT((ROW()-2)/20)+1))</f>
      </c>
      <c r="L48" s="322" cm="1">
        <f t="array" ref="L48">IF(AND($D48="",$E48=""),"",INDEX('Teams Master'!$D$2:$D$14,INT((ROW()-2)/20)+1))</f>
      </c>
      <c r="M48" s="194">
        <f t="shared" si="2"/>
      </c>
      <c r="N48" s="194">
        <f t="shared" si="3"/>
      </c>
    </row>
    <row r="49" spans="1:14">
      <c r="A49" s="322" cm="1">
        <f t="array" ref="A49">INDEX('Teams Master'!$C$2:$C$14,INT((ROW()-2)/20)+1)</f>
      </c>
      <c r="B49" s="194">
        <f t="shared" si="0"/>
      </c>
      <c r="C49" s="319">
        <v>41</v>
      </c>
      <c r="D49" s="319" t="s">
        <v>1031</v>
      </c>
      <c r="E49" s="319" t="s">
        <v>1013</v>
      </c>
      <c r="F49" s="319" t="s">
        <v>1033</v>
      </c>
      <c r="G49" s="194">
        <f t="shared" si="1"/>
      </c>
      <c r="H49" s="319"/>
      <c r="I49" s="319"/>
      <c r="J49" s="319"/>
      <c r="K49" s="322" cm="1">
        <f t="array" ref="K49">IF(AND($D49="",$E49=""),"",INDEX('Teams Master'!$A$2:$A$14,INT((ROW()-2)/20)+1))</f>
      </c>
      <c r="L49" s="322" cm="1">
        <f t="array" ref="L49">IF(AND($D49="",$E49=""),"",INDEX('Teams Master'!$D$2:$D$14,INT((ROW()-2)/20)+1))</f>
      </c>
      <c r="M49" s="194">
        <f t="shared" si="2"/>
      </c>
      <c r="N49" s="194">
        <f t="shared" si="3"/>
      </c>
    </row>
    <row r="50" spans="1:14">
      <c r="A50" s="322" cm="1">
        <f t="array" ref="A50">INDEX('Teams Master'!$C$2:$C$14,INT((ROW()-2)/20)+1)</f>
      </c>
      <c r="B50" s="194">
        <f t="shared" si="0"/>
      </c>
      <c r="C50" s="319">
        <v>11</v>
      </c>
      <c r="D50" s="319" t="s">
        <v>1120</v>
      </c>
      <c r="E50" s="319" t="s">
        <v>1035</v>
      </c>
      <c r="F50" s="319" t="s">
        <v>1033</v>
      </c>
      <c r="G50" s="194">
        <f t="shared" si="1"/>
      </c>
      <c r="H50" s="319"/>
      <c r="I50" s="319"/>
      <c r="J50" s="319"/>
      <c r="K50" s="322" cm="1">
        <f t="array" ref="K50">IF(AND($D50="",$E50=""),"",INDEX('Teams Master'!$A$2:$A$14,INT((ROW()-2)/20)+1))</f>
      </c>
      <c r="L50" s="322" cm="1">
        <f t="array" ref="L50">IF(AND($D50="",$E50=""),"",INDEX('Teams Master'!$D$2:$D$14,INT((ROW()-2)/20)+1))</f>
      </c>
      <c r="M50" s="194">
        <f t="shared" si="2"/>
      </c>
      <c r="N50" s="194">
        <f t="shared" si="3"/>
      </c>
    </row>
    <row r="51" spans="1:14">
      <c r="A51" s="322" cm="1">
        <f t="array" ref="A51">INDEX('Teams Master'!$C$2:$C$14,INT((ROW()-2)/20)+1)</f>
      </c>
      <c r="B51" s="194">
        <f t="shared" si="0"/>
      </c>
      <c r="C51" s="319">
        <v>47</v>
      </c>
      <c r="D51" s="319" t="s">
        <v>1098</v>
      </c>
      <c r="E51" s="319" t="s">
        <v>1121</v>
      </c>
      <c r="F51" s="319" t="s">
        <v>1033</v>
      </c>
      <c r="G51" s="194">
        <f t="shared" si="1"/>
      </c>
      <c r="H51" s="319"/>
      <c r="I51" s="319"/>
      <c r="J51" s="319"/>
      <c r="K51" s="322" cm="1">
        <f t="array" ref="K51">IF(AND($D51="",$E51=""),"",INDEX('Teams Master'!$A$2:$A$14,INT((ROW()-2)/20)+1))</f>
      </c>
      <c r="L51" s="322" cm="1">
        <f t="array" ref="L51">IF(AND($D51="",$E51=""),"",INDEX('Teams Master'!$D$2:$D$14,INT((ROW()-2)/20)+1))</f>
      </c>
      <c r="M51" s="194">
        <f t="shared" si="2"/>
      </c>
      <c r="N51" s="194">
        <f t="shared" si="3"/>
      </c>
    </row>
    <row r="52" spans="1:14">
      <c r="A52" s="322" cm="1">
        <f t="array" ref="A52">INDEX('Teams Master'!$C$2:$C$14,INT((ROW()-2)/20)+1)</f>
      </c>
      <c r="B52" s="194">
        <f t="shared" si="0"/>
      </c>
      <c r="C52" s="319">
        <v>71</v>
      </c>
      <c r="D52" s="319" t="s">
        <v>1122</v>
      </c>
      <c r="E52" s="319" t="s">
        <v>1123</v>
      </c>
      <c r="F52" s="319" t="s">
        <v>1040</v>
      </c>
      <c r="G52" s="194">
        <f t="shared" si="1"/>
      </c>
      <c r="H52" s="319"/>
      <c r="I52" s="319"/>
      <c r="J52" s="319"/>
      <c r="K52" s="322" cm="1">
        <f t="array" ref="K52">IF(AND($D52="",$E52=""),"",INDEX('Teams Master'!$A$2:$A$14,INT((ROW()-2)/20)+1))</f>
      </c>
      <c r="L52" s="322" cm="1">
        <f t="array" ref="L52">IF(AND($D52="",$E52=""),"",INDEX('Teams Master'!$D$2:$D$14,INT((ROW()-2)/20)+1))</f>
      </c>
      <c r="M52" s="194">
        <f t="shared" si="2"/>
      </c>
      <c r="N52" s="194">
        <f t="shared" si="3"/>
      </c>
    </row>
    <row r="53" spans="1:14">
      <c r="A53" s="322" cm="1">
        <f t="array" ref="A53">INDEX('Teams Master'!$C$2:$C$14,INT((ROW()-2)/20)+1)</f>
      </c>
      <c r="B53" s="194">
        <f t="shared" si="0"/>
      </c>
      <c r="C53" s="319">
        <v>73</v>
      </c>
      <c r="D53" s="319" t="s">
        <v>1124</v>
      </c>
      <c r="E53" s="319" t="s">
        <v>1125</v>
      </c>
      <c r="F53" s="319" t="s">
        <v>1040</v>
      </c>
      <c r="G53" s="194">
        <f t="shared" si="1"/>
      </c>
      <c r="H53" s="319"/>
      <c r="I53" s="319"/>
      <c r="J53" s="319"/>
      <c r="K53" s="322" cm="1">
        <f t="array" ref="K53">IF(AND($D53="",$E53=""),"",INDEX('Teams Master'!$A$2:$A$14,INT((ROW()-2)/20)+1))</f>
      </c>
      <c r="L53" s="322" cm="1">
        <f t="array" ref="L53">IF(AND($D53="",$E53=""),"",INDEX('Teams Master'!$D$2:$D$14,INT((ROW()-2)/20)+1))</f>
      </c>
      <c r="M53" s="194">
        <f t="shared" si="2"/>
      </c>
      <c r="N53" s="194">
        <f t="shared" si="3"/>
      </c>
    </row>
    <row r="54" spans="1:14">
      <c r="A54" s="322" cm="1">
        <f t="array" ref="A54">INDEX('Teams Master'!$C$2:$C$14,INT((ROW()-2)/20)+1)</f>
      </c>
      <c r="B54" s="194">
        <f t="shared" si="0"/>
      </c>
      <c r="C54" s="319">
        <v>28</v>
      </c>
      <c r="D54" s="319" t="s">
        <v>1092</v>
      </c>
      <c r="E54" s="319" t="s">
        <v>1049</v>
      </c>
      <c r="F54" s="319" t="s">
        <v>1045</v>
      </c>
      <c r="G54" s="194">
        <f t="shared" si="1"/>
      </c>
      <c r="H54" s="319"/>
      <c r="I54" s="319"/>
      <c r="J54" s="319"/>
      <c r="K54" s="322" cm="1">
        <f t="array" ref="K54">IF(AND($D54="",$E54=""),"",INDEX('Teams Master'!$A$2:$A$14,INT((ROW()-2)/20)+1))</f>
      </c>
      <c r="L54" s="322" cm="1">
        <f t="array" ref="L54">IF(AND($D54="",$E54=""),"",INDEX('Teams Master'!$D$2:$D$14,INT((ROW()-2)/20)+1))</f>
      </c>
      <c r="M54" s="194">
        <f t="shared" si="2"/>
      </c>
      <c r="N54" s="194">
        <f t="shared" si="3"/>
      </c>
    </row>
    <row r="55" spans="1:14">
      <c r="A55" s="322" cm="1">
        <f t="array" ref="A55">INDEX('Teams Master'!$C$2:$C$14,INT((ROW()-2)/20)+1)</f>
      </c>
      <c r="B55" s="194">
        <f t="shared" si="0"/>
      </c>
      <c r="C55" s="319">
        <v>96</v>
      </c>
      <c r="D55" s="319" t="s">
        <v>1075</v>
      </c>
      <c r="E55" s="319" t="s">
        <v>1126</v>
      </c>
      <c r="F55" s="319" t="s">
        <v>1045</v>
      </c>
      <c r="G55" s="194">
        <f t="shared" si="1"/>
      </c>
      <c r="H55" s="319"/>
      <c r="I55" s="319"/>
      <c r="J55" s="319"/>
      <c r="K55" s="322" cm="1">
        <f t="array" ref="K55">IF(AND($D55="",$E55=""),"",INDEX('Teams Master'!$A$2:$A$14,INT((ROW()-2)/20)+1))</f>
      </c>
      <c r="L55" s="322" cm="1">
        <f t="array" ref="L55">IF(AND($D55="",$E55=""),"",INDEX('Teams Master'!$D$2:$D$14,INT((ROW()-2)/20)+1))</f>
      </c>
      <c r="M55" s="194">
        <f t="shared" si="2"/>
      </c>
      <c r="N55" s="194">
        <f t="shared" si="3"/>
      </c>
    </row>
    <row r="56" spans="1:14">
      <c r="A56" s="322" cm="1">
        <f t="array" ref="A56">INDEX('Teams Master'!$C$2:$C$14,INT((ROW()-2)/20)+1)</f>
      </c>
      <c r="B56" s="194">
        <f t="shared" si="0"/>
      </c>
      <c r="C56" s="319">
        <v>85</v>
      </c>
      <c r="D56" s="319" t="s">
        <v>1012</v>
      </c>
      <c r="E56" s="319" t="s">
        <v>1127</v>
      </c>
      <c r="F56" s="319" t="s">
        <v>1050</v>
      </c>
      <c r="G56" s="194">
        <f t="shared" si="1"/>
      </c>
      <c r="H56" s="319"/>
      <c r="I56" s="319"/>
      <c r="J56" s="319"/>
      <c r="K56" s="322" cm="1">
        <f t="array" ref="K56">IF(AND($D56="",$E56=""),"",INDEX('Teams Master'!$A$2:$A$14,INT((ROW()-2)/20)+1))</f>
      </c>
      <c r="L56" s="322" cm="1">
        <f t="array" ref="L56">IF(AND($D56="",$E56=""),"",INDEX('Teams Master'!$D$2:$D$14,INT((ROW()-2)/20)+1))</f>
      </c>
      <c r="M56" s="194">
        <f t="shared" si="2"/>
      </c>
      <c r="N56" s="194">
        <f t="shared" si="3"/>
      </c>
    </row>
    <row r="57" spans="1:14">
      <c r="A57" s="322" cm="1">
        <f t="array" ref="A57">INDEX('Teams Master'!$C$2:$C$14,INT((ROW()-2)/20)+1)</f>
      </c>
      <c r="B57" s="194">
        <f t="shared" si="0"/>
      </c>
      <c r="C57" s="319">
        <v>59</v>
      </c>
      <c r="D57" s="319" t="s">
        <v>1034</v>
      </c>
      <c r="E57" s="319" t="s">
        <v>1013</v>
      </c>
      <c r="F57" s="319" t="s">
        <v>1050</v>
      </c>
      <c r="G57" s="194">
        <f t="shared" si="1"/>
      </c>
      <c r="H57" s="319"/>
      <c r="I57" s="319"/>
      <c r="J57" s="319"/>
      <c r="K57" s="322" cm="1">
        <f t="array" ref="K57">IF(AND($D57="",$E57=""),"",INDEX('Teams Master'!$A$2:$A$14,INT((ROW()-2)/20)+1))</f>
      </c>
      <c r="L57" s="322" cm="1">
        <f t="array" ref="L57">IF(AND($D57="",$E57=""),"",INDEX('Teams Master'!$D$2:$D$14,INT((ROW()-2)/20)+1))</f>
      </c>
      <c r="M57" s="194">
        <f t="shared" si="2"/>
      </c>
      <c r="N57" s="194">
        <f t="shared" si="3"/>
      </c>
    </row>
    <row r="58" spans="1:14">
      <c r="A58" s="373" cm="1">
        <f t="array" ref="A58">INDEX('Teams Master'!$C$2:$C$14,INT((ROW()-2)/20)+1)</f>
      </c>
      <c r="B58" s="196">
        <f t="shared" si="0"/>
      </c>
      <c r="C58" s="630"/>
      <c r="D58" s="630" t="s">
        <v>1128</v>
      </c>
      <c r="E58" s="630" t="s">
        <v>1129</v>
      </c>
      <c r="F58" s="630"/>
      <c r="G58" s="196">
        <f t="shared" si="1"/>
      </c>
      <c r="H58" s="630" t="s">
        <v>1130</v>
      </c>
      <c r="I58" s="630" t="s">
        <v>1131</v>
      </c>
      <c r="J58" s="630"/>
      <c r="K58" s="373" cm="1">
        <f t="array" ref="K58">IF(AND($D58="",$E58=""),"",INDEX('Teams Master'!$A$2:$A$14,INT((ROW()-2)/20)+1))</f>
      </c>
      <c r="L58" s="373" cm="1">
        <f t="array" ref="L58">IF(AND($D58="",$E58=""),"",INDEX('Teams Master'!$D$2:$D$14,INT((ROW()-2)/20)+1))</f>
      </c>
      <c r="M58" s="196">
        <f t="shared" si="2"/>
      </c>
      <c r="N58" s="196">
        <f t="shared" si="3"/>
      </c>
    </row>
    <row r="59" spans="1:14">
      <c r="A59" s="373" cm="1">
        <f t="array" ref="A59">INDEX('Teams Master'!$C$2:$C$14,INT((ROW()-2)/20)+1)</f>
      </c>
      <c r="B59" s="196">
        <f t="shared" si="0"/>
      </c>
      <c r="C59" s="630"/>
      <c r="D59" s="630" t="s">
        <v>1132</v>
      </c>
      <c r="E59" s="630" t="s">
        <v>1127</v>
      </c>
      <c r="F59" s="630"/>
      <c r="G59" s="196">
        <f t="shared" si="1"/>
      </c>
      <c r="H59" s="630" t="s">
        <v>1133</v>
      </c>
      <c r="I59" s="630" t="s">
        <v>1134</v>
      </c>
      <c r="J59" s="630"/>
      <c r="K59" s="373" cm="1">
        <f t="array" ref="K59">IF(AND($D59="",$E59=""),"",INDEX('Teams Master'!$A$2:$A$14,INT((ROW()-2)/20)+1))</f>
      </c>
      <c r="L59" s="373" cm="1">
        <f t="array" ref="L59">IF(AND($D59="",$E59=""),"",INDEX('Teams Master'!$D$2:$D$14,INT((ROW()-2)/20)+1))</f>
      </c>
      <c r="M59" s="196">
        <f t="shared" si="2"/>
      </c>
      <c r="N59" s="196">
        <f t="shared" si="3"/>
      </c>
    </row>
    <row r="60" spans="1:14">
      <c r="A60" s="373" cm="1">
        <f t="array" ref="A60">INDEX('Teams Master'!$C$2:$C$14,INT((ROW()-2)/20)+1)</f>
      </c>
      <c r="B60" s="196">
        <f t="shared" si="0"/>
      </c>
      <c r="C60" s="630"/>
      <c r="D60" s="630" t="s">
        <v>1038</v>
      </c>
      <c r="E60" s="630" t="s">
        <v>1135</v>
      </c>
      <c r="F60" s="630"/>
      <c r="G60" s="196">
        <f t="shared" si="1"/>
      </c>
      <c r="H60" s="630" t="s">
        <v>1136</v>
      </c>
      <c r="I60" s="630" t="s">
        <v>1137</v>
      </c>
      <c r="J60" s="630"/>
      <c r="K60" s="373" cm="1">
        <f t="array" ref="K60">IF(AND($D60="",$E60=""),"",INDEX('Teams Master'!$A$2:$A$14,INT((ROW()-2)/20)+1))</f>
      </c>
      <c r="L60" s="373" cm="1">
        <f t="array" ref="L60">IF(AND($D60="",$E60=""),"",INDEX('Teams Master'!$D$2:$D$14,INT((ROW()-2)/20)+1))</f>
      </c>
      <c r="M60" s="196">
        <f t="shared" si="2"/>
      </c>
      <c r="N60" s="196">
        <f t="shared" si="3"/>
      </c>
    </row>
    <row r="61" spans="1:14" ht="15" thickBot="1">
      <c r="A61" s="373" cm="1">
        <f t="array" ref="A61">INDEX('Teams Master'!$C$2:$C$14,INT((ROW()-2)/20)+1)</f>
      </c>
      <c r="B61" s="196">
        <f t="shared" si="0"/>
      </c>
      <c r="C61" s="630"/>
      <c r="D61" s="630" t="s">
        <v>1138</v>
      </c>
      <c r="E61" s="630" t="s">
        <v>1139</v>
      </c>
      <c r="F61" s="630"/>
      <c r="G61" s="196">
        <f t="shared" si="1"/>
      </c>
      <c r="H61" s="630" t="s">
        <v>1140</v>
      </c>
      <c r="I61" s="630" t="s">
        <v>1141</v>
      </c>
      <c r="J61" s="630"/>
      <c r="K61" s="373" cm="1">
        <f t="array" ref="K61">IF(AND($D61="",$E61=""),"",INDEX('Teams Master'!$A$2:$A$14,INT((ROW()-2)/20)+1))</f>
      </c>
      <c r="L61" s="373" cm="1">
        <f t="array" ref="L61">IF(AND($D61="",$E61=""),"",INDEX('Teams Master'!$D$2:$D$14,INT((ROW()-2)/20)+1))</f>
      </c>
      <c r="M61" s="196">
        <f t="shared" si="2"/>
      </c>
      <c r="N61" s="196">
        <f t="shared" si="3"/>
      </c>
    </row>
    <row r="62" spans="1:14">
      <c r="A62" s="627" cm="1">
        <f t="array" ref="A62">INDEX('Teams Master'!$C$2:$C$14,INT((ROW()-2)/20)+1)</f>
      </c>
      <c r="B62" s="628">
        <f t="shared" si="0"/>
      </c>
      <c r="C62" s="629">
        <v>1</v>
      </c>
      <c r="D62" s="629" t="s">
        <v>1142</v>
      </c>
      <c r="E62" s="629" t="s">
        <v>1143</v>
      </c>
      <c r="F62" s="629" t="s">
        <v>1014</v>
      </c>
      <c r="G62" s="628">
        <f t="shared" si="1"/>
      </c>
      <c r="H62" s="629"/>
      <c r="I62" s="629"/>
      <c r="J62" s="629"/>
      <c r="K62" s="627" cm="1">
        <f t="array" ref="K62">IF(AND($D62="",$E62=""),"",INDEX('Teams Master'!$A$2:$A$14,INT((ROW()-2)/20)+1))</f>
      </c>
      <c r="L62" s="627" cm="1">
        <f t="array" ref="L62">IF(AND($D62="",$E62=""),"",INDEX('Teams Master'!$D$2:$D$14,INT((ROW()-2)/20)+1))</f>
      </c>
      <c r="M62" s="628">
        <f t="shared" si="2"/>
      </c>
      <c r="N62" s="628">
        <f t="shared" si="3"/>
      </c>
    </row>
    <row r="63" spans="1:14">
      <c r="A63" s="322" cm="1">
        <f t="array" ref="A63">INDEX('Teams Master'!$C$2:$C$14,INT((ROW()-2)/20)+1)</f>
      </c>
      <c r="B63" s="194">
        <f t="shared" si="0"/>
      </c>
      <c r="C63" s="319">
        <v>12</v>
      </c>
      <c r="D63" s="319" t="s">
        <v>1124</v>
      </c>
      <c r="E63" s="319" t="s">
        <v>1032</v>
      </c>
      <c r="F63" s="319" t="s">
        <v>1014</v>
      </c>
      <c r="G63" s="194">
        <f t="shared" si="1"/>
      </c>
      <c r="H63" s="319"/>
      <c r="I63" s="319"/>
      <c r="J63" s="319"/>
      <c r="K63" s="322" cm="1">
        <f t="array" ref="K63">IF(AND($D63="",$E63=""),"",INDEX('Teams Master'!$A$2:$A$14,INT((ROW()-2)/20)+1))</f>
      </c>
      <c r="L63" s="322" cm="1">
        <f t="array" ref="L63">IF(AND($D63="",$E63=""),"",INDEX('Teams Master'!$D$2:$D$14,INT((ROW()-2)/20)+1))</f>
      </c>
      <c r="M63" s="194">
        <f t="shared" si="2"/>
      </c>
      <c r="N63" s="194">
        <f t="shared" si="3"/>
      </c>
    </row>
    <row r="64" spans="1:14">
      <c r="A64" s="322" cm="1">
        <f t="array" ref="A64">INDEX('Teams Master'!$C$2:$C$14,INT((ROW()-2)/20)+1)</f>
      </c>
      <c r="B64" s="194">
        <f t="shared" si="0"/>
      </c>
      <c r="C64" s="319">
        <v>23</v>
      </c>
      <c r="D64" s="319" t="s">
        <v>1081</v>
      </c>
      <c r="E64" s="319" t="s">
        <v>1144</v>
      </c>
      <c r="F64" s="319" t="s">
        <v>1021</v>
      </c>
      <c r="G64" s="194">
        <f t="shared" si="1"/>
      </c>
      <c r="H64" s="319"/>
      <c r="I64" s="319"/>
      <c r="J64" s="319"/>
      <c r="K64" s="322" cm="1">
        <f t="array" ref="K64">IF(AND($D64="",$E64=""),"",INDEX('Teams Master'!$A$2:$A$14,INT((ROW()-2)/20)+1))</f>
      </c>
      <c r="L64" s="322" cm="1">
        <f t="array" ref="L64">IF(AND($D64="",$E64=""),"",INDEX('Teams Master'!$D$2:$D$14,INT((ROW()-2)/20)+1))</f>
      </c>
      <c r="M64" s="194">
        <f t="shared" si="2"/>
      </c>
      <c r="N64" s="194">
        <f t="shared" si="3"/>
      </c>
    </row>
    <row r="65" spans="1:14">
      <c r="A65" s="322" cm="1">
        <f t="array" ref="A65">INDEX('Teams Master'!$C$2:$C$14,INT((ROW()-2)/20)+1)</f>
      </c>
      <c r="B65" s="194">
        <f t="shared" si="0"/>
      </c>
      <c r="C65" s="319">
        <v>76</v>
      </c>
      <c r="D65" s="319" t="s">
        <v>1122</v>
      </c>
      <c r="E65" s="319" t="s">
        <v>1145</v>
      </c>
      <c r="F65" s="319" t="s">
        <v>1021</v>
      </c>
      <c r="G65" s="194">
        <f t="shared" si="1"/>
      </c>
      <c r="H65" s="319"/>
      <c r="I65" s="319"/>
      <c r="J65" s="319"/>
      <c r="K65" s="322" cm="1">
        <f t="array" ref="K65">IF(AND($D65="",$E65=""),"",INDEX('Teams Master'!$A$2:$A$14,INT((ROW()-2)/20)+1))</f>
      </c>
      <c r="L65" s="322" cm="1">
        <f t="array" ref="L65">IF(AND($D65="",$E65=""),"",INDEX('Teams Master'!$D$2:$D$14,INT((ROW()-2)/20)+1))</f>
      </c>
      <c r="M65" s="194">
        <f t="shared" si="2"/>
      </c>
      <c r="N65" s="194">
        <f t="shared" si="3"/>
      </c>
    </row>
    <row r="66" spans="1:14">
      <c r="A66" s="322" cm="1">
        <f t="array" ref="A66">INDEX('Teams Master'!$C$2:$C$14,INT((ROW()-2)/20)+1)</f>
      </c>
      <c r="B66" s="194">
        <f t="shared" ref="B66:B129" si="4">IF(MOD(ROW()-2,20)+1&lt;=16,"Player","Official")</f>
      </c>
      <c r="C66" s="319">
        <v>70</v>
      </c>
      <c r="D66" s="319" t="s">
        <v>1146</v>
      </c>
      <c r="E66" s="319" t="s">
        <v>1082</v>
      </c>
      <c r="F66" s="319" t="s">
        <v>1026</v>
      </c>
      <c r="G66" s="194">
        <f t="shared" ref="G66:G129" si="5">IF(MOD(ROW()-2,20)+1&lt;=16,"Player","Official "&amp;MID("ABCD",MOD(ROW()-2,20)-15,1))</f>
      </c>
      <c r="H66" s="319"/>
      <c r="I66" s="319"/>
      <c r="J66" s="319"/>
      <c r="K66" s="322" cm="1">
        <f t="array" ref="K66">IF(AND($D66="",$E66=""),"",INDEX('Teams Master'!$A$2:$A$14,INT((ROW()-2)/20)+1))</f>
      </c>
      <c r="L66" s="322" cm="1">
        <f t="array" ref="L66">IF(AND($D66="",$E66=""),"",INDEX('Teams Master'!$D$2:$D$14,INT((ROW()-2)/20)+1))</f>
      </c>
      <c r="M66" s="194">
        <f t="shared" ref="M66:M129" si="6">IF(AND($D66="",$E66=""),"",TRIM($D66&amp;" "&amp;$E66))</f>
      </c>
      <c r="N66" s="194">
        <f t="shared" ref="N66:N129" si="7">IF(AND($D66="",$E66=""),"",$A66&amp;"|"&amp;$G66)</f>
      </c>
    </row>
    <row r="67" spans="1:14">
      <c r="A67" s="322" cm="1">
        <f t="array" ref="A67">INDEX('Teams Master'!$C$2:$C$14,INT((ROW()-2)/20)+1)</f>
      </c>
      <c r="B67" s="194">
        <f t="shared" si="4"/>
      </c>
      <c r="C67" s="319">
        <v>71</v>
      </c>
      <c r="D67" s="319" t="s">
        <v>1092</v>
      </c>
      <c r="E67" s="319" t="s">
        <v>1147</v>
      </c>
      <c r="F67" s="319" t="s">
        <v>1026</v>
      </c>
      <c r="G67" s="194">
        <f t="shared" si="5"/>
      </c>
      <c r="H67" s="319"/>
      <c r="I67" s="319"/>
      <c r="J67" s="319"/>
      <c r="K67" s="322" cm="1">
        <f t="array" ref="K67">IF(AND($D67="",$E67=""),"",INDEX('Teams Master'!$A$2:$A$14,INT((ROW()-2)/20)+1))</f>
      </c>
      <c r="L67" s="322" cm="1">
        <f t="array" ref="L67">IF(AND($D67="",$E67=""),"",INDEX('Teams Master'!$D$2:$D$14,INT((ROW()-2)/20)+1))</f>
      </c>
      <c r="M67" s="194">
        <f t="shared" si="6"/>
      </c>
      <c r="N67" s="194">
        <f t="shared" si="7"/>
      </c>
    </row>
    <row r="68" spans="1:14">
      <c r="A68" s="322" cm="1">
        <f t="array" ref="A68">INDEX('Teams Master'!$C$2:$C$14,INT((ROW()-2)/20)+1)</f>
      </c>
      <c r="B68" s="194">
        <f t="shared" si="4"/>
      </c>
      <c r="C68" s="319">
        <v>26</v>
      </c>
      <c r="D68" s="319" t="s">
        <v>1120</v>
      </c>
      <c r="E68" s="319" t="s">
        <v>1143</v>
      </c>
      <c r="F68" s="319" t="s">
        <v>1026</v>
      </c>
      <c r="G68" s="194">
        <f t="shared" si="5"/>
      </c>
      <c r="H68" s="319"/>
      <c r="I68" s="319"/>
      <c r="J68" s="319"/>
      <c r="K68" s="322" cm="1">
        <f t="array" ref="K68">IF(AND($D68="",$E68=""),"",INDEX('Teams Master'!$A$2:$A$14,INT((ROW()-2)/20)+1))</f>
      </c>
      <c r="L68" s="322" cm="1">
        <f t="array" ref="L68">IF(AND($D68="",$E68=""),"",INDEX('Teams Master'!$D$2:$D$14,INT((ROW()-2)/20)+1))</f>
      </c>
      <c r="M68" s="194">
        <f t="shared" si="6"/>
      </c>
      <c r="N68" s="194">
        <f t="shared" si="7"/>
      </c>
    </row>
    <row r="69" spans="1:14">
      <c r="A69" s="322" cm="1">
        <f t="array" ref="A69">INDEX('Teams Master'!$C$2:$C$14,INT((ROW()-2)/20)+1)</f>
      </c>
      <c r="B69" s="194">
        <f t="shared" si="4"/>
      </c>
      <c r="C69" s="319">
        <v>3</v>
      </c>
      <c r="D69" s="319" t="s">
        <v>1148</v>
      </c>
      <c r="E69" s="319" t="s">
        <v>1149</v>
      </c>
      <c r="F69" s="319" t="s">
        <v>1033</v>
      </c>
      <c r="G69" s="194">
        <f t="shared" si="5"/>
      </c>
      <c r="H69" s="319"/>
      <c r="I69" s="319"/>
      <c r="J69" s="319"/>
      <c r="K69" s="322" cm="1">
        <f t="array" ref="K69">IF(AND($D69="",$E69=""),"",INDEX('Teams Master'!$A$2:$A$14,INT((ROW()-2)/20)+1))</f>
      </c>
      <c r="L69" s="322" cm="1">
        <f t="array" ref="L69">IF(AND($D69="",$E69=""),"",INDEX('Teams Master'!$D$2:$D$14,INT((ROW()-2)/20)+1))</f>
      </c>
      <c r="M69" s="194">
        <f t="shared" si="6"/>
      </c>
      <c r="N69" s="194">
        <f t="shared" si="7"/>
      </c>
    </row>
    <row r="70" spans="1:14">
      <c r="A70" s="322" cm="1">
        <f t="array" ref="A70">INDEX('Teams Master'!$C$2:$C$14,INT((ROW()-2)/20)+1)</f>
      </c>
      <c r="B70" s="194">
        <f t="shared" si="4"/>
      </c>
      <c r="C70" s="319">
        <v>88</v>
      </c>
      <c r="D70" s="319" t="s">
        <v>1150</v>
      </c>
      <c r="E70" s="319" t="s">
        <v>1028</v>
      </c>
      <c r="F70" s="319" t="s">
        <v>1033</v>
      </c>
      <c r="G70" s="194">
        <f t="shared" si="5"/>
      </c>
      <c r="H70" s="319"/>
      <c r="I70" s="319"/>
      <c r="J70" s="319"/>
      <c r="K70" s="322" cm="1">
        <f t="array" ref="K70">IF(AND($D70="",$E70=""),"",INDEX('Teams Master'!$A$2:$A$14,INT((ROW()-2)/20)+1))</f>
      </c>
      <c r="L70" s="322" cm="1">
        <f t="array" ref="L70">IF(AND($D70="",$E70=""),"",INDEX('Teams Master'!$D$2:$D$14,INT((ROW()-2)/20)+1))</f>
      </c>
      <c r="M70" s="194">
        <f t="shared" si="6"/>
      </c>
      <c r="N70" s="194">
        <f t="shared" si="7"/>
      </c>
    </row>
    <row r="71" spans="1:14">
      <c r="A71" s="322" cm="1">
        <f t="array" ref="A71">INDEX('Teams Master'!$C$2:$C$14,INT((ROW()-2)/20)+1)</f>
      </c>
      <c r="B71" s="194">
        <f t="shared" si="4"/>
      </c>
      <c r="C71" s="319">
        <v>15</v>
      </c>
      <c r="D71" s="319" t="s">
        <v>1151</v>
      </c>
      <c r="E71" s="319" t="s">
        <v>1152</v>
      </c>
      <c r="F71" s="319" t="s">
        <v>1033</v>
      </c>
      <c r="G71" s="194">
        <f t="shared" si="5"/>
      </c>
      <c r="H71" s="319"/>
      <c r="I71" s="319"/>
      <c r="J71" s="319"/>
      <c r="K71" s="322" cm="1">
        <f t="array" ref="K71">IF(AND($D71="",$E71=""),"",INDEX('Teams Master'!$A$2:$A$14,INT((ROW()-2)/20)+1))</f>
      </c>
      <c r="L71" s="322" cm="1">
        <f t="array" ref="L71">IF(AND($D71="",$E71=""),"",INDEX('Teams Master'!$D$2:$D$14,INT((ROW()-2)/20)+1))</f>
      </c>
      <c r="M71" s="194">
        <f t="shared" si="6"/>
      </c>
      <c r="N71" s="194">
        <f t="shared" si="7"/>
      </c>
    </row>
    <row r="72" spans="1:14">
      <c r="A72" s="322" cm="1">
        <f t="array" ref="A72">INDEX('Teams Master'!$C$2:$C$14,INT((ROW()-2)/20)+1)</f>
      </c>
      <c r="B72" s="194">
        <f t="shared" si="4"/>
      </c>
      <c r="C72" s="319">
        <v>30</v>
      </c>
      <c r="D72" s="319" t="s">
        <v>1096</v>
      </c>
      <c r="E72" s="319" t="s">
        <v>1153</v>
      </c>
      <c r="F72" s="319" t="s">
        <v>1040</v>
      </c>
      <c r="G72" s="194">
        <f t="shared" si="5"/>
      </c>
      <c r="H72" s="319"/>
      <c r="I72" s="319"/>
      <c r="J72" s="319"/>
      <c r="K72" s="322" cm="1">
        <f t="array" ref="K72">IF(AND($D72="",$E72=""),"",INDEX('Teams Master'!$A$2:$A$14,INT((ROW()-2)/20)+1))</f>
      </c>
      <c r="L72" s="322" cm="1">
        <f t="array" ref="L72">IF(AND($D72="",$E72=""),"",INDEX('Teams Master'!$D$2:$D$14,INT((ROW()-2)/20)+1))</f>
      </c>
      <c r="M72" s="194">
        <f t="shared" si="6"/>
      </c>
      <c r="N72" s="194">
        <f t="shared" si="7"/>
      </c>
    </row>
    <row r="73" spans="1:14">
      <c r="A73" s="322" cm="1">
        <f t="array" ref="A73">INDEX('Teams Master'!$C$2:$C$14,INT((ROW()-2)/20)+1)</f>
      </c>
      <c r="B73" s="194">
        <f t="shared" si="4"/>
      </c>
      <c r="C73" s="319">
        <v>10</v>
      </c>
      <c r="D73" s="319" t="s">
        <v>1043</v>
      </c>
      <c r="E73" s="319" t="s">
        <v>1154</v>
      </c>
      <c r="F73" s="319" t="s">
        <v>1040</v>
      </c>
      <c r="G73" s="194">
        <f t="shared" si="5"/>
      </c>
      <c r="H73" s="319"/>
      <c r="I73" s="319"/>
      <c r="J73" s="319"/>
      <c r="K73" s="322" cm="1">
        <f t="array" ref="K73">IF(AND($D73="",$E73=""),"",INDEX('Teams Master'!$A$2:$A$14,INT((ROW()-2)/20)+1))</f>
      </c>
      <c r="L73" s="322" cm="1">
        <f t="array" ref="L73">IF(AND($D73="",$E73=""),"",INDEX('Teams Master'!$D$2:$D$14,INT((ROW()-2)/20)+1))</f>
      </c>
      <c r="M73" s="194">
        <f t="shared" si="6"/>
      </c>
      <c r="N73" s="194">
        <f t="shared" si="7"/>
      </c>
    </row>
    <row r="74" spans="1:14">
      <c r="A74" s="322" cm="1">
        <f t="array" ref="A74">INDEX('Teams Master'!$C$2:$C$14,INT((ROW()-2)/20)+1)</f>
      </c>
      <c r="B74" s="194">
        <f t="shared" si="4"/>
      </c>
      <c r="C74" s="319">
        <v>25</v>
      </c>
      <c r="D74" s="319" t="s">
        <v>1155</v>
      </c>
      <c r="E74" s="319" t="s">
        <v>1123</v>
      </c>
      <c r="F74" s="319" t="s">
        <v>1045</v>
      </c>
      <c r="G74" s="194">
        <f t="shared" si="5"/>
      </c>
      <c r="H74" s="319"/>
      <c r="I74" s="319"/>
      <c r="J74" s="319"/>
      <c r="K74" s="322" cm="1">
        <f t="array" ref="K74">IF(AND($D74="",$E74=""),"",INDEX('Teams Master'!$A$2:$A$14,INT((ROW()-2)/20)+1))</f>
      </c>
      <c r="L74" s="322" cm="1">
        <f t="array" ref="L74">IF(AND($D74="",$E74=""),"",INDEX('Teams Master'!$D$2:$D$14,INT((ROW()-2)/20)+1))</f>
      </c>
      <c r="M74" s="194">
        <f t="shared" si="6"/>
      </c>
      <c r="N74" s="194">
        <f t="shared" si="7"/>
      </c>
    </row>
    <row r="75" spans="1:14">
      <c r="A75" s="322" cm="1">
        <f t="array" ref="A75">INDEX('Teams Master'!$C$2:$C$14,INT((ROW()-2)/20)+1)</f>
      </c>
      <c r="B75" s="194">
        <f t="shared" si="4"/>
      </c>
      <c r="C75" s="319">
        <v>55</v>
      </c>
      <c r="D75" s="319" t="s">
        <v>1088</v>
      </c>
      <c r="E75" s="319" t="s">
        <v>1156</v>
      </c>
      <c r="F75" s="319" t="s">
        <v>1045</v>
      </c>
      <c r="G75" s="194">
        <f t="shared" si="5"/>
      </c>
      <c r="H75" s="319"/>
      <c r="I75" s="319"/>
      <c r="J75" s="319"/>
      <c r="K75" s="322" cm="1">
        <f t="array" ref="K75">IF(AND($D75="",$E75=""),"",INDEX('Teams Master'!$A$2:$A$14,INT((ROW()-2)/20)+1))</f>
      </c>
      <c r="L75" s="322" cm="1">
        <f t="array" ref="L75">IF(AND($D75="",$E75=""),"",INDEX('Teams Master'!$D$2:$D$14,INT((ROW()-2)/20)+1))</f>
      </c>
      <c r="M75" s="194">
        <f t="shared" si="6"/>
      </c>
      <c r="N75" s="194">
        <f t="shared" si="7"/>
      </c>
    </row>
    <row r="76" spans="1:14">
      <c r="A76" s="322" cm="1">
        <f t="array" ref="A76">INDEX('Teams Master'!$C$2:$C$14,INT((ROW()-2)/20)+1)</f>
      </c>
      <c r="B76" s="194">
        <f t="shared" si="4"/>
      </c>
      <c r="C76" s="319">
        <v>6</v>
      </c>
      <c r="D76" s="319" t="s">
        <v>1157</v>
      </c>
      <c r="E76" s="319" t="s">
        <v>1153</v>
      </c>
      <c r="F76" s="319" t="s">
        <v>1050</v>
      </c>
      <c r="G76" s="194">
        <f t="shared" si="5"/>
      </c>
      <c r="H76" s="319"/>
      <c r="I76" s="319"/>
      <c r="J76" s="319"/>
      <c r="K76" s="322" cm="1">
        <f t="array" ref="K76">IF(AND($D76="",$E76=""),"",INDEX('Teams Master'!$A$2:$A$14,INT((ROW()-2)/20)+1))</f>
      </c>
      <c r="L76" s="322" cm="1">
        <f t="array" ref="L76">IF(AND($D76="",$E76=""),"",INDEX('Teams Master'!$D$2:$D$14,INT((ROW()-2)/20)+1))</f>
      </c>
      <c r="M76" s="194">
        <f t="shared" si="6"/>
      </c>
      <c r="N76" s="194">
        <f t="shared" si="7"/>
      </c>
    </row>
    <row r="77" spans="1:14">
      <c r="A77" s="322" cm="1">
        <f t="array" ref="A77">INDEX('Teams Master'!$C$2:$C$14,INT((ROW()-2)/20)+1)</f>
      </c>
      <c r="B77" s="194">
        <f t="shared" si="4"/>
      </c>
      <c r="C77" s="319">
        <v>79</v>
      </c>
      <c r="D77" s="319" t="s">
        <v>1142</v>
      </c>
      <c r="E77" s="319" t="s">
        <v>1158</v>
      </c>
      <c r="F77" s="319" t="s">
        <v>1050</v>
      </c>
      <c r="G77" s="194">
        <f t="shared" si="5"/>
      </c>
      <c r="H77" s="319"/>
      <c r="I77" s="319"/>
      <c r="J77" s="319"/>
      <c r="K77" s="322" cm="1">
        <f t="array" ref="K77">IF(AND($D77="",$E77=""),"",INDEX('Teams Master'!$A$2:$A$14,INT((ROW()-2)/20)+1))</f>
      </c>
      <c r="L77" s="322" cm="1">
        <f t="array" ref="L77">IF(AND($D77="",$E77=""),"",INDEX('Teams Master'!$D$2:$D$14,INT((ROW()-2)/20)+1))</f>
      </c>
      <c r="M77" s="194">
        <f t="shared" si="6"/>
      </c>
      <c r="N77" s="194">
        <f t="shared" si="7"/>
      </c>
    </row>
    <row r="78" spans="1:14">
      <c r="A78" s="373" cm="1">
        <f t="array" ref="A78">INDEX('Teams Master'!$C$2:$C$14,INT((ROW()-2)/20)+1)</f>
      </c>
      <c r="B78" s="196">
        <f t="shared" si="4"/>
      </c>
      <c r="C78" s="630"/>
      <c r="D78" s="630" t="s">
        <v>1159</v>
      </c>
      <c r="E78" s="630" t="s">
        <v>1160</v>
      </c>
      <c r="F78" s="630"/>
      <c r="G78" s="196">
        <f t="shared" si="5"/>
      </c>
      <c r="H78" s="630" t="s">
        <v>1161</v>
      </c>
      <c r="I78" s="630" t="s">
        <v>1162</v>
      </c>
      <c r="J78" s="630"/>
      <c r="K78" s="373" cm="1">
        <f t="array" ref="K78">IF(AND($D78="",$E78=""),"",INDEX('Teams Master'!$A$2:$A$14,INT((ROW()-2)/20)+1))</f>
      </c>
      <c r="L78" s="373" cm="1">
        <f t="array" ref="L78">IF(AND($D78="",$E78=""),"",INDEX('Teams Master'!$D$2:$D$14,INT((ROW()-2)/20)+1))</f>
      </c>
      <c r="M78" s="196">
        <f t="shared" si="6"/>
      </c>
      <c r="N78" s="196">
        <f t="shared" si="7"/>
      </c>
    </row>
    <row r="79" spans="1:14">
      <c r="A79" s="373" cm="1">
        <f t="array" ref="A79">INDEX('Teams Master'!$C$2:$C$14,INT((ROW()-2)/20)+1)</f>
      </c>
      <c r="B79" s="196">
        <f t="shared" si="4"/>
      </c>
      <c r="C79" s="630"/>
      <c r="D79" s="630" t="s">
        <v>1163</v>
      </c>
      <c r="E79" s="630" t="s">
        <v>1160</v>
      </c>
      <c r="F79" s="630"/>
      <c r="G79" s="196">
        <f t="shared" si="5"/>
      </c>
      <c r="H79" s="630" t="s">
        <v>1164</v>
      </c>
      <c r="I79" s="630" t="s">
        <v>1165</v>
      </c>
      <c r="J79" s="630"/>
      <c r="K79" s="373" cm="1">
        <f t="array" ref="K79">IF(AND($D79="",$E79=""),"",INDEX('Teams Master'!$A$2:$A$14,INT((ROW()-2)/20)+1))</f>
      </c>
      <c r="L79" s="373" cm="1">
        <f t="array" ref="L79">IF(AND($D79="",$E79=""),"",INDEX('Teams Master'!$D$2:$D$14,INT((ROW()-2)/20)+1))</f>
      </c>
      <c r="M79" s="196">
        <f t="shared" si="6"/>
      </c>
      <c r="N79" s="196">
        <f t="shared" si="7"/>
      </c>
    </row>
    <row r="80" spans="1:14">
      <c r="A80" s="373" cm="1">
        <f t="array" ref="A80">INDEX('Teams Master'!$C$2:$C$14,INT((ROW()-2)/20)+1)</f>
      </c>
      <c r="B80" s="196">
        <f t="shared" si="4"/>
      </c>
      <c r="C80" s="630"/>
      <c r="D80" s="630" t="s">
        <v>1166</v>
      </c>
      <c r="E80" s="630" t="s">
        <v>1017</v>
      </c>
      <c r="F80" s="630"/>
      <c r="G80" s="196">
        <f t="shared" si="5"/>
      </c>
      <c r="H80" s="630" t="s">
        <v>1167</v>
      </c>
      <c r="I80" s="630" t="s">
        <v>1168</v>
      </c>
      <c r="J80" s="630"/>
      <c r="K80" s="373" cm="1">
        <f t="array" ref="K80">IF(AND($D80="",$E80=""),"",INDEX('Teams Master'!$A$2:$A$14,INT((ROW()-2)/20)+1))</f>
      </c>
      <c r="L80" s="373" cm="1">
        <f t="array" ref="L80">IF(AND($D80="",$E80=""),"",INDEX('Teams Master'!$D$2:$D$14,INT((ROW()-2)/20)+1))</f>
      </c>
      <c r="M80" s="196">
        <f t="shared" si="6"/>
      </c>
      <c r="N80" s="196">
        <f t="shared" si="7"/>
      </c>
    </row>
    <row r="81" spans="1:14" ht="15" thickBot="1">
      <c r="A81" s="373" cm="1">
        <f t="array" ref="A81">INDEX('Teams Master'!$C$2:$C$14,INT((ROW()-2)/20)+1)</f>
      </c>
      <c r="B81" s="196">
        <f t="shared" si="4"/>
      </c>
      <c r="C81" s="630"/>
      <c r="D81" s="630" t="s">
        <v>1169</v>
      </c>
      <c r="E81" s="630" t="s">
        <v>1170</v>
      </c>
      <c r="F81" s="630"/>
      <c r="G81" s="196">
        <f t="shared" si="5"/>
      </c>
      <c r="H81" s="630" t="s">
        <v>1171</v>
      </c>
      <c r="I81" s="630" t="s">
        <v>1172</v>
      </c>
      <c r="J81" s="630"/>
      <c r="K81" s="373" cm="1">
        <f t="array" ref="K81">IF(AND($D81="",$E81=""),"",INDEX('Teams Master'!$A$2:$A$14,INT((ROW()-2)/20)+1))</f>
      </c>
      <c r="L81" s="373" cm="1">
        <f t="array" ref="L81">IF(AND($D81="",$E81=""),"",INDEX('Teams Master'!$D$2:$D$14,INT((ROW()-2)/20)+1))</f>
      </c>
      <c r="M81" s="196">
        <f t="shared" si="6"/>
      </c>
      <c r="N81" s="196">
        <f t="shared" si="7"/>
      </c>
    </row>
    <row r="82" spans="1:14">
      <c r="A82" s="627" cm="1">
        <f t="array" ref="A82">INDEX('Teams Master'!$C$2:$C$14,INT((ROW()-2)/20)+1)</f>
      </c>
      <c r="B82" s="628">
        <f t="shared" si="4"/>
      </c>
      <c r="C82" s="629">
        <v>1</v>
      </c>
      <c r="D82" s="629" t="s">
        <v>1169</v>
      </c>
      <c r="E82" s="629" t="s">
        <v>1173</v>
      </c>
      <c r="F82" s="629" t="s">
        <v>1014</v>
      </c>
      <c r="G82" s="628">
        <f t="shared" si="5"/>
      </c>
      <c r="H82" s="629"/>
      <c r="I82" s="629"/>
      <c r="J82" s="629"/>
      <c r="K82" s="627" cm="1">
        <f t="array" ref="K82">IF(AND($D82="",$E82=""),"",INDEX('Teams Master'!$A$2:$A$14,INT((ROW()-2)/20)+1))</f>
      </c>
      <c r="L82" s="627" cm="1">
        <f t="array" ref="L82">IF(AND($D82="",$E82=""),"",INDEX('Teams Master'!$D$2:$D$14,INT((ROW()-2)/20)+1))</f>
      </c>
      <c r="M82" s="628">
        <f t="shared" si="6"/>
      </c>
      <c r="N82" s="628">
        <f t="shared" si="7"/>
      </c>
    </row>
    <row r="83" spans="1:14">
      <c r="A83" s="322" cm="1">
        <f t="array" ref="A83">INDEX('Teams Master'!$C$2:$C$14,INT((ROW()-2)/20)+1)</f>
      </c>
      <c r="B83" s="194">
        <f t="shared" si="4"/>
      </c>
      <c r="C83" s="319">
        <v>12</v>
      </c>
      <c r="D83" s="319" t="s">
        <v>1174</v>
      </c>
      <c r="E83" s="319" t="s">
        <v>1175</v>
      </c>
      <c r="F83" s="319" t="s">
        <v>1014</v>
      </c>
      <c r="G83" s="194">
        <f t="shared" si="5"/>
      </c>
      <c r="H83" s="319"/>
      <c r="I83" s="319"/>
      <c r="J83" s="319"/>
      <c r="K83" s="322" cm="1">
        <f t="array" ref="K83">IF(AND($D83="",$E83=""),"",INDEX('Teams Master'!$A$2:$A$14,INT((ROW()-2)/20)+1))</f>
      </c>
      <c r="L83" s="322" cm="1">
        <f t="array" ref="L83">IF(AND($D83="",$E83=""),"",INDEX('Teams Master'!$D$2:$D$14,INT((ROW()-2)/20)+1))</f>
      </c>
      <c r="M83" s="194">
        <f t="shared" si="6"/>
      </c>
      <c r="N83" s="194">
        <f t="shared" si="7"/>
      </c>
    </row>
    <row r="84" spans="1:14">
      <c r="A84" s="322" cm="1">
        <f t="array" ref="A84">INDEX('Teams Master'!$C$2:$C$14,INT((ROW()-2)/20)+1)</f>
      </c>
      <c r="B84" s="194">
        <f t="shared" si="4"/>
      </c>
      <c r="C84" s="319">
        <v>47</v>
      </c>
      <c r="D84" s="319" t="s">
        <v>1176</v>
      </c>
      <c r="E84" s="319" t="s">
        <v>1177</v>
      </c>
      <c r="F84" s="319" t="s">
        <v>1021</v>
      </c>
      <c r="G84" s="194">
        <f t="shared" si="5"/>
      </c>
      <c r="H84" s="319"/>
      <c r="I84" s="319"/>
      <c r="J84" s="319"/>
      <c r="K84" s="322" cm="1">
        <f t="array" ref="K84">IF(AND($D84="",$E84=""),"",INDEX('Teams Master'!$A$2:$A$14,INT((ROW()-2)/20)+1))</f>
      </c>
      <c r="L84" s="322" cm="1">
        <f t="array" ref="L84">IF(AND($D84="",$E84=""),"",INDEX('Teams Master'!$D$2:$D$14,INT((ROW()-2)/20)+1))</f>
      </c>
      <c r="M84" s="194">
        <f t="shared" si="6"/>
      </c>
      <c r="N84" s="194">
        <f t="shared" si="7"/>
      </c>
    </row>
    <row r="85" spans="1:14">
      <c r="A85" s="322" cm="1">
        <f t="array" ref="A85">INDEX('Teams Master'!$C$2:$C$14,INT((ROW()-2)/20)+1)</f>
      </c>
      <c r="B85" s="194">
        <f t="shared" si="4"/>
      </c>
      <c r="C85" s="319">
        <v>35</v>
      </c>
      <c r="D85" s="319" t="s">
        <v>1051</v>
      </c>
      <c r="E85" s="319" t="s">
        <v>1147</v>
      </c>
      <c r="F85" s="319" t="s">
        <v>1021</v>
      </c>
      <c r="G85" s="194">
        <f t="shared" si="5"/>
      </c>
      <c r="H85" s="319"/>
      <c r="I85" s="319"/>
      <c r="J85" s="319"/>
      <c r="K85" s="322" cm="1">
        <f t="array" ref="K85">IF(AND($D85="",$E85=""),"",INDEX('Teams Master'!$A$2:$A$14,INT((ROW()-2)/20)+1))</f>
      </c>
      <c r="L85" s="322" cm="1">
        <f t="array" ref="L85">IF(AND($D85="",$E85=""),"",INDEX('Teams Master'!$D$2:$D$14,INT((ROW()-2)/20)+1))</f>
      </c>
      <c r="M85" s="194">
        <f t="shared" si="6"/>
      </c>
      <c r="N85" s="194">
        <f t="shared" si="7"/>
      </c>
    </row>
    <row r="86" spans="1:14">
      <c r="A86" s="322" cm="1">
        <f t="array" ref="A86">INDEX('Teams Master'!$C$2:$C$14,INT((ROW()-2)/20)+1)</f>
      </c>
      <c r="B86" s="194">
        <f t="shared" si="4"/>
      </c>
      <c r="C86" s="319">
        <v>92</v>
      </c>
      <c r="D86" s="319" t="s">
        <v>1178</v>
      </c>
      <c r="E86" s="319" t="s">
        <v>1099</v>
      </c>
      <c r="F86" s="319" t="s">
        <v>1026</v>
      </c>
      <c r="G86" s="194">
        <f t="shared" si="5"/>
      </c>
      <c r="H86" s="319"/>
      <c r="I86" s="319"/>
      <c r="J86" s="319"/>
      <c r="K86" s="322" cm="1">
        <f t="array" ref="K86">IF(AND($D86="",$E86=""),"",INDEX('Teams Master'!$A$2:$A$14,INT((ROW()-2)/20)+1))</f>
      </c>
      <c r="L86" s="322" cm="1">
        <f t="array" ref="L86">IF(AND($D86="",$E86=""),"",INDEX('Teams Master'!$D$2:$D$14,INT((ROW()-2)/20)+1))</f>
      </c>
      <c r="M86" s="194">
        <f t="shared" si="6"/>
      </c>
      <c r="N86" s="194">
        <f t="shared" si="7"/>
      </c>
    </row>
    <row r="87" spans="1:14">
      <c r="A87" s="322" cm="1">
        <f t="array" ref="A87">INDEX('Teams Master'!$C$2:$C$14,INT((ROW()-2)/20)+1)</f>
      </c>
      <c r="B87" s="194">
        <f t="shared" si="4"/>
      </c>
      <c r="C87" s="319">
        <v>70</v>
      </c>
      <c r="D87" s="319" t="s">
        <v>1122</v>
      </c>
      <c r="E87" s="319" t="s">
        <v>1179</v>
      </c>
      <c r="F87" s="319" t="s">
        <v>1026</v>
      </c>
      <c r="G87" s="194">
        <f t="shared" si="5"/>
      </c>
      <c r="H87" s="319"/>
      <c r="I87" s="319"/>
      <c r="J87" s="319"/>
      <c r="K87" s="322" cm="1">
        <f t="array" ref="K87">IF(AND($D87="",$E87=""),"",INDEX('Teams Master'!$A$2:$A$14,INT((ROW()-2)/20)+1))</f>
      </c>
      <c r="L87" s="322" cm="1">
        <f t="array" ref="L87">IF(AND($D87="",$E87=""),"",INDEX('Teams Master'!$D$2:$D$14,INT((ROW()-2)/20)+1))</f>
      </c>
      <c r="M87" s="194">
        <f t="shared" si="6"/>
      </c>
      <c r="N87" s="194">
        <f t="shared" si="7"/>
      </c>
    </row>
    <row r="88" spans="1:14">
      <c r="A88" s="322" cm="1">
        <f t="array" ref="A88">INDEX('Teams Master'!$C$2:$C$14,INT((ROW()-2)/20)+1)</f>
      </c>
      <c r="B88" s="194">
        <f t="shared" si="4"/>
      </c>
      <c r="C88" s="319">
        <v>25</v>
      </c>
      <c r="D88" s="319" t="s">
        <v>1180</v>
      </c>
      <c r="E88" s="319" t="s">
        <v>1181</v>
      </c>
      <c r="F88" s="319" t="s">
        <v>1026</v>
      </c>
      <c r="G88" s="194">
        <f t="shared" si="5"/>
      </c>
      <c r="H88" s="319"/>
      <c r="I88" s="319"/>
      <c r="J88" s="319"/>
      <c r="K88" s="322" cm="1">
        <f t="array" ref="K88">IF(AND($D88="",$E88=""),"",INDEX('Teams Master'!$A$2:$A$14,INT((ROW()-2)/20)+1))</f>
      </c>
      <c r="L88" s="322" cm="1">
        <f t="array" ref="L88">IF(AND($D88="",$E88=""),"",INDEX('Teams Master'!$D$2:$D$14,INT((ROW()-2)/20)+1))</f>
      </c>
      <c r="M88" s="194">
        <f t="shared" si="6"/>
      </c>
      <c r="N88" s="194">
        <f t="shared" si="7"/>
      </c>
    </row>
    <row r="89" spans="1:14">
      <c r="A89" s="322" cm="1">
        <f t="array" ref="A89">INDEX('Teams Master'!$C$2:$C$14,INT((ROW()-2)/20)+1)</f>
      </c>
      <c r="B89" s="194">
        <f t="shared" si="4"/>
      </c>
      <c r="C89" s="319">
        <v>45</v>
      </c>
      <c r="D89" s="319" t="s">
        <v>1182</v>
      </c>
      <c r="E89" s="319" t="s">
        <v>1183</v>
      </c>
      <c r="F89" s="319" t="s">
        <v>1033</v>
      </c>
      <c r="G89" s="194">
        <f t="shared" si="5"/>
      </c>
      <c r="H89" s="319"/>
      <c r="I89" s="319"/>
      <c r="J89" s="319"/>
      <c r="K89" s="322" cm="1">
        <f t="array" ref="K89">IF(AND($D89="",$E89=""),"",INDEX('Teams Master'!$A$2:$A$14,INT((ROW()-2)/20)+1))</f>
      </c>
      <c r="L89" s="322" cm="1">
        <f t="array" ref="L89">IF(AND($D89="",$E89=""),"",INDEX('Teams Master'!$D$2:$D$14,INT((ROW()-2)/20)+1))</f>
      </c>
      <c r="M89" s="194">
        <f t="shared" si="6"/>
      </c>
      <c r="N89" s="194">
        <f t="shared" si="7"/>
      </c>
    </row>
    <row r="90" spans="1:14">
      <c r="A90" s="322" cm="1">
        <f t="array" ref="A90">INDEX('Teams Master'!$C$2:$C$14,INT((ROW()-2)/20)+1)</f>
      </c>
      <c r="B90" s="194">
        <f t="shared" si="4"/>
      </c>
      <c r="C90" s="319">
        <v>26</v>
      </c>
      <c r="D90" s="319" t="s">
        <v>1184</v>
      </c>
      <c r="E90" s="319" t="s">
        <v>1185</v>
      </c>
      <c r="F90" s="319" t="s">
        <v>1033</v>
      </c>
      <c r="G90" s="194">
        <f t="shared" si="5"/>
      </c>
      <c r="H90" s="319"/>
      <c r="I90" s="319"/>
      <c r="J90" s="319"/>
      <c r="K90" s="322" cm="1">
        <f t="array" ref="K90">IF(AND($D90="",$E90=""),"",INDEX('Teams Master'!$A$2:$A$14,INT((ROW()-2)/20)+1))</f>
      </c>
      <c r="L90" s="322" cm="1">
        <f t="array" ref="L90">IF(AND($D90="",$E90=""),"",INDEX('Teams Master'!$D$2:$D$14,INT((ROW()-2)/20)+1))</f>
      </c>
      <c r="M90" s="194">
        <f t="shared" si="6"/>
      </c>
      <c r="N90" s="194">
        <f t="shared" si="7"/>
      </c>
    </row>
    <row r="91" spans="1:14">
      <c r="A91" s="322" cm="1">
        <f t="array" ref="A91">INDEX('Teams Master'!$C$2:$C$14,INT((ROW()-2)/20)+1)</f>
      </c>
      <c r="B91" s="194">
        <f t="shared" si="4"/>
      </c>
      <c r="C91" s="319">
        <v>2</v>
      </c>
      <c r="D91" s="319" t="s">
        <v>1079</v>
      </c>
      <c r="E91" s="319" t="s">
        <v>1042</v>
      </c>
      <c r="F91" s="319" t="s">
        <v>1033</v>
      </c>
      <c r="G91" s="194">
        <f t="shared" si="5"/>
      </c>
      <c r="H91" s="319"/>
      <c r="I91" s="319"/>
      <c r="J91" s="319"/>
      <c r="K91" s="322" cm="1">
        <f t="array" ref="K91">IF(AND($D91="",$E91=""),"",INDEX('Teams Master'!$A$2:$A$14,INT((ROW()-2)/20)+1))</f>
      </c>
      <c r="L91" s="322" cm="1">
        <f t="array" ref="L91">IF(AND($D91="",$E91=""),"",INDEX('Teams Master'!$D$2:$D$14,INT((ROW()-2)/20)+1))</f>
      </c>
      <c r="M91" s="194">
        <f t="shared" si="6"/>
      </c>
      <c r="N91" s="194">
        <f t="shared" si="7"/>
      </c>
    </row>
    <row r="92" spans="1:14">
      <c r="A92" s="322" cm="1">
        <f t="array" ref="A92">INDEX('Teams Master'!$C$2:$C$14,INT((ROW()-2)/20)+1)</f>
      </c>
      <c r="B92" s="194">
        <f t="shared" si="4"/>
      </c>
      <c r="C92" s="319">
        <v>24</v>
      </c>
      <c r="D92" s="319" t="s">
        <v>1186</v>
      </c>
      <c r="E92" s="319" t="s">
        <v>1187</v>
      </c>
      <c r="F92" s="319" t="s">
        <v>1040</v>
      </c>
      <c r="G92" s="194">
        <f t="shared" si="5"/>
      </c>
      <c r="H92" s="319"/>
      <c r="I92" s="319"/>
      <c r="J92" s="319"/>
      <c r="K92" s="322" cm="1">
        <f t="array" ref="K92">IF(AND($D92="",$E92=""),"",INDEX('Teams Master'!$A$2:$A$14,INT((ROW()-2)/20)+1))</f>
      </c>
      <c r="L92" s="322" cm="1">
        <f t="array" ref="L92">IF(AND($D92="",$E92=""),"",INDEX('Teams Master'!$D$2:$D$14,INT((ROW()-2)/20)+1))</f>
      </c>
      <c r="M92" s="194">
        <f t="shared" si="6"/>
      </c>
      <c r="N92" s="194">
        <f t="shared" si="7"/>
      </c>
    </row>
    <row r="93" spans="1:14">
      <c r="A93" s="322" cm="1">
        <f t="array" ref="A93">INDEX('Teams Master'!$C$2:$C$14,INT((ROW()-2)/20)+1)</f>
      </c>
      <c r="B93" s="194">
        <f t="shared" si="4"/>
      </c>
      <c r="C93" s="319">
        <v>98</v>
      </c>
      <c r="D93" s="319" t="s">
        <v>1188</v>
      </c>
      <c r="E93" s="319" t="s">
        <v>1189</v>
      </c>
      <c r="F93" s="319" t="s">
        <v>1040</v>
      </c>
      <c r="G93" s="194">
        <f t="shared" si="5"/>
      </c>
      <c r="H93" s="319"/>
      <c r="I93" s="319"/>
      <c r="J93" s="319"/>
      <c r="K93" s="322" cm="1">
        <f t="array" ref="K93">IF(AND($D93="",$E93=""),"",INDEX('Teams Master'!$A$2:$A$14,INT((ROW()-2)/20)+1))</f>
      </c>
      <c r="L93" s="322" cm="1">
        <f t="array" ref="L93">IF(AND($D93="",$E93=""),"",INDEX('Teams Master'!$D$2:$D$14,INT((ROW()-2)/20)+1))</f>
      </c>
      <c r="M93" s="194">
        <f t="shared" si="6"/>
      </c>
      <c r="N93" s="194">
        <f t="shared" si="7"/>
      </c>
    </row>
    <row r="94" spans="1:14">
      <c r="A94" s="322" cm="1">
        <f t="array" ref="A94">INDEX('Teams Master'!$C$2:$C$14,INT((ROW()-2)/20)+1)</f>
      </c>
      <c r="B94" s="194">
        <f t="shared" si="4"/>
      </c>
      <c r="C94" s="319">
        <v>9</v>
      </c>
      <c r="D94" s="319" t="s">
        <v>1132</v>
      </c>
      <c r="E94" s="319" t="s">
        <v>1189</v>
      </c>
      <c r="F94" s="319" t="s">
        <v>1045</v>
      </c>
      <c r="G94" s="194">
        <f t="shared" si="5"/>
      </c>
      <c r="H94" s="319"/>
      <c r="I94" s="319"/>
      <c r="J94" s="319"/>
      <c r="K94" s="322" cm="1">
        <f t="array" ref="K94">IF(AND($D94="",$E94=""),"",INDEX('Teams Master'!$A$2:$A$14,INT((ROW()-2)/20)+1))</f>
      </c>
      <c r="L94" s="322" cm="1">
        <f t="array" ref="L94">IF(AND($D94="",$E94=""),"",INDEX('Teams Master'!$D$2:$D$14,INT((ROW()-2)/20)+1))</f>
      </c>
      <c r="M94" s="194">
        <f t="shared" si="6"/>
      </c>
      <c r="N94" s="194">
        <f t="shared" si="7"/>
      </c>
    </row>
    <row r="95" spans="1:14">
      <c r="A95" s="322" cm="1">
        <f t="array" ref="A95">INDEX('Teams Master'!$C$2:$C$14,INT((ROW()-2)/20)+1)</f>
      </c>
      <c r="B95" s="194">
        <f t="shared" si="4"/>
      </c>
      <c r="C95" s="319">
        <v>91</v>
      </c>
      <c r="D95" s="319" t="s">
        <v>1188</v>
      </c>
      <c r="E95" s="319" t="s">
        <v>1099</v>
      </c>
      <c r="F95" s="319" t="s">
        <v>1045</v>
      </c>
      <c r="G95" s="194">
        <f t="shared" si="5"/>
      </c>
      <c r="H95" s="319"/>
      <c r="I95" s="319"/>
      <c r="J95" s="319"/>
      <c r="K95" s="322" cm="1">
        <f t="array" ref="K95">IF(AND($D95="",$E95=""),"",INDEX('Teams Master'!$A$2:$A$14,INT((ROW()-2)/20)+1))</f>
      </c>
      <c r="L95" s="322" cm="1">
        <f t="array" ref="L95">IF(AND($D95="",$E95=""),"",INDEX('Teams Master'!$D$2:$D$14,INT((ROW()-2)/20)+1))</f>
      </c>
      <c r="M95" s="194">
        <f t="shared" si="6"/>
      </c>
      <c r="N95" s="194">
        <f t="shared" si="7"/>
      </c>
    </row>
    <row r="96" spans="1:14">
      <c r="A96" s="322" cm="1">
        <f t="array" ref="A96">INDEX('Teams Master'!$C$2:$C$14,INT((ROW()-2)/20)+1)</f>
      </c>
      <c r="B96" s="194">
        <f t="shared" si="4"/>
      </c>
      <c r="C96" s="319">
        <v>83</v>
      </c>
      <c r="D96" s="319" t="s">
        <v>1117</v>
      </c>
      <c r="E96" s="319" t="s">
        <v>1156</v>
      </c>
      <c r="F96" s="319" t="s">
        <v>1050</v>
      </c>
      <c r="G96" s="194">
        <f t="shared" si="5"/>
      </c>
      <c r="H96" s="319"/>
      <c r="I96" s="319"/>
      <c r="J96" s="319"/>
      <c r="K96" s="322" cm="1">
        <f t="array" ref="K96">IF(AND($D96="",$E96=""),"",INDEX('Teams Master'!$A$2:$A$14,INT((ROW()-2)/20)+1))</f>
      </c>
      <c r="L96" s="322" cm="1">
        <f t="array" ref="L96">IF(AND($D96="",$E96=""),"",INDEX('Teams Master'!$D$2:$D$14,INT((ROW()-2)/20)+1))</f>
      </c>
      <c r="M96" s="194">
        <f t="shared" si="6"/>
      </c>
      <c r="N96" s="194">
        <f t="shared" si="7"/>
      </c>
    </row>
    <row r="97" spans="1:14">
      <c r="A97" s="322" cm="1">
        <f t="array" ref="A97">INDEX('Teams Master'!$C$2:$C$14,INT((ROW()-2)/20)+1)</f>
      </c>
      <c r="B97" s="194">
        <f t="shared" si="4"/>
      </c>
      <c r="C97" s="319">
        <v>66</v>
      </c>
      <c r="D97" s="319" t="s">
        <v>1041</v>
      </c>
      <c r="E97" s="319" t="s">
        <v>1190</v>
      </c>
      <c r="F97" s="319" t="s">
        <v>1050</v>
      </c>
      <c r="G97" s="194">
        <f t="shared" si="5"/>
      </c>
      <c r="H97" s="319"/>
      <c r="I97" s="319"/>
      <c r="J97" s="319"/>
      <c r="K97" s="322" cm="1">
        <f t="array" ref="K97">IF(AND($D97="",$E97=""),"",INDEX('Teams Master'!$A$2:$A$14,INT((ROW()-2)/20)+1))</f>
      </c>
      <c r="L97" s="322" cm="1">
        <f t="array" ref="L97">IF(AND($D97="",$E97=""),"",INDEX('Teams Master'!$D$2:$D$14,INT((ROW()-2)/20)+1))</f>
      </c>
      <c r="M97" s="194">
        <f t="shared" si="6"/>
      </c>
      <c r="N97" s="194">
        <f t="shared" si="7"/>
      </c>
    </row>
    <row r="98" spans="1:14">
      <c r="A98" s="373" cm="1">
        <f t="array" ref="A98">INDEX('Teams Master'!$C$2:$C$14,INT((ROW()-2)/20)+1)</f>
      </c>
      <c r="B98" s="196">
        <f t="shared" si="4"/>
      </c>
      <c r="C98" s="630"/>
      <c r="D98" s="630" t="s">
        <v>1191</v>
      </c>
      <c r="E98" s="630" t="s">
        <v>1099</v>
      </c>
      <c r="F98" s="630"/>
      <c r="G98" s="196">
        <f t="shared" si="5"/>
      </c>
      <c r="H98" s="630" t="s">
        <v>1192</v>
      </c>
      <c r="I98" s="630" t="s">
        <v>1193</v>
      </c>
      <c r="J98" s="630"/>
      <c r="K98" s="373" cm="1">
        <f t="array" ref="K98">IF(AND($D98="",$E98=""),"",INDEX('Teams Master'!$A$2:$A$14,INT((ROW()-2)/20)+1))</f>
      </c>
      <c r="L98" s="373" cm="1">
        <f t="array" ref="L98">IF(AND($D98="",$E98=""),"",INDEX('Teams Master'!$D$2:$D$14,INT((ROW()-2)/20)+1))</f>
      </c>
      <c r="M98" s="196">
        <f t="shared" si="6"/>
      </c>
      <c r="N98" s="196">
        <f t="shared" si="7"/>
      </c>
    </row>
    <row r="99" spans="1:14">
      <c r="A99" s="373" cm="1">
        <f t="array" ref="A99">INDEX('Teams Master'!$C$2:$C$14,INT((ROW()-2)/20)+1)</f>
      </c>
      <c r="B99" s="196">
        <f t="shared" si="4"/>
      </c>
      <c r="C99" s="630"/>
      <c r="D99" s="630" t="s">
        <v>1166</v>
      </c>
      <c r="E99" s="630" t="s">
        <v>1194</v>
      </c>
      <c r="F99" s="630"/>
      <c r="G99" s="196">
        <f t="shared" si="5"/>
      </c>
      <c r="H99" s="630" t="s">
        <v>1195</v>
      </c>
      <c r="I99" s="630" t="s">
        <v>1196</v>
      </c>
      <c r="J99" s="630"/>
      <c r="K99" s="373" cm="1">
        <f t="array" ref="K99">IF(AND($D99="",$E99=""),"",INDEX('Teams Master'!$A$2:$A$14,INT((ROW()-2)/20)+1))</f>
      </c>
      <c r="L99" s="373" cm="1">
        <f t="array" ref="L99">IF(AND($D99="",$E99=""),"",INDEX('Teams Master'!$D$2:$D$14,INT((ROW()-2)/20)+1))</f>
      </c>
      <c r="M99" s="196">
        <f t="shared" si="6"/>
      </c>
      <c r="N99" s="196">
        <f t="shared" si="7"/>
      </c>
    </row>
    <row r="100" spans="1:14">
      <c r="A100" s="373" cm="1">
        <f t="array" ref="A100">INDEX('Teams Master'!$C$2:$C$14,INT((ROW()-2)/20)+1)</f>
      </c>
      <c r="B100" s="196">
        <f t="shared" si="4"/>
      </c>
      <c r="C100" s="630"/>
      <c r="D100" s="630" t="s">
        <v>1197</v>
      </c>
      <c r="E100" s="630" t="s">
        <v>1187</v>
      </c>
      <c r="F100" s="630"/>
      <c r="G100" s="196">
        <f t="shared" si="5"/>
      </c>
      <c r="H100" s="630" t="s">
        <v>1198</v>
      </c>
      <c r="I100" s="630" t="s">
        <v>1199</v>
      </c>
      <c r="J100" s="630"/>
      <c r="K100" s="373" cm="1">
        <f t="array" ref="K100">IF(AND($D100="",$E100=""),"",INDEX('Teams Master'!$A$2:$A$14,INT((ROW()-2)/20)+1))</f>
      </c>
      <c r="L100" s="373" cm="1">
        <f t="array" ref="L100">IF(AND($D100="",$E100=""),"",INDEX('Teams Master'!$D$2:$D$14,INT((ROW()-2)/20)+1))</f>
      </c>
      <c r="M100" s="196">
        <f t="shared" si="6"/>
      </c>
      <c r="N100" s="196">
        <f t="shared" si="7"/>
      </c>
    </row>
    <row r="101" spans="1:14" ht="15" thickBot="1">
      <c r="A101" s="373" cm="1">
        <f t="array" ref="A101">INDEX('Teams Master'!$C$2:$C$14,INT((ROW()-2)/20)+1)</f>
      </c>
      <c r="B101" s="196">
        <f t="shared" si="4"/>
      </c>
      <c r="C101" s="630"/>
      <c r="D101" s="630" t="s">
        <v>1200</v>
      </c>
      <c r="E101" s="630" t="s">
        <v>1201</v>
      </c>
      <c r="F101" s="630"/>
      <c r="G101" s="196">
        <f t="shared" si="5"/>
      </c>
      <c r="H101" s="630" t="s">
        <v>1202</v>
      </c>
      <c r="I101" s="630" t="s">
        <v>1203</v>
      </c>
      <c r="J101" s="630"/>
      <c r="K101" s="373" cm="1">
        <f t="array" ref="K101">IF(AND($D101="",$E101=""),"",INDEX('Teams Master'!$A$2:$A$14,INT((ROW()-2)/20)+1))</f>
      </c>
      <c r="L101" s="373" cm="1">
        <f t="array" ref="L101">IF(AND($D101="",$E101=""),"",INDEX('Teams Master'!$D$2:$D$14,INT((ROW()-2)/20)+1))</f>
      </c>
      <c r="M101" s="196">
        <f t="shared" si="6"/>
      </c>
      <c r="N101" s="196">
        <f t="shared" si="7"/>
      </c>
    </row>
    <row r="102" spans="1:14">
      <c r="A102" s="627" cm="1">
        <f t="array" ref="A102">INDEX('Teams Master'!$C$2:$C$14,INT((ROW()-2)/20)+1)</f>
      </c>
      <c r="B102" s="628">
        <f t="shared" si="4"/>
      </c>
      <c r="C102" s="629">
        <v>1</v>
      </c>
      <c r="D102" s="629" t="s">
        <v>1186</v>
      </c>
      <c r="E102" s="629" t="s">
        <v>1204</v>
      </c>
      <c r="F102" s="629" t="s">
        <v>1014</v>
      </c>
      <c r="G102" s="628">
        <f t="shared" si="5"/>
      </c>
      <c r="H102" s="629"/>
      <c r="I102" s="629"/>
      <c r="J102" s="629"/>
      <c r="K102" s="627" cm="1">
        <f t="array" ref="K102">IF(AND($D102="",$E102=""),"",INDEX('Teams Master'!$A$2:$A$14,INT((ROW()-2)/20)+1))</f>
      </c>
      <c r="L102" s="627" cm="1">
        <f t="array" ref="L102">IF(AND($D102="",$E102=""),"",INDEX('Teams Master'!$D$2:$D$14,INT((ROW()-2)/20)+1))</f>
      </c>
      <c r="M102" s="628">
        <f t="shared" si="6"/>
      </c>
      <c r="N102" s="628">
        <f t="shared" si="7"/>
      </c>
    </row>
    <row r="103" spans="1:14">
      <c r="A103" s="322" cm="1">
        <f t="array" ref="A103">INDEX('Teams Master'!$C$2:$C$14,INT((ROW()-2)/20)+1)</f>
      </c>
      <c r="B103" s="194">
        <f t="shared" si="4"/>
      </c>
      <c r="C103" s="319">
        <v>12</v>
      </c>
      <c r="D103" s="319" t="s">
        <v>1070</v>
      </c>
      <c r="E103" s="319" t="s">
        <v>1205</v>
      </c>
      <c r="F103" s="319" t="s">
        <v>1014</v>
      </c>
      <c r="G103" s="194">
        <f t="shared" si="5"/>
      </c>
      <c r="H103" s="319"/>
      <c r="I103" s="319"/>
      <c r="J103" s="319"/>
      <c r="K103" s="322" cm="1">
        <f t="array" ref="K103">IF(AND($D103="",$E103=""),"",INDEX('Teams Master'!$A$2:$A$14,INT((ROW()-2)/20)+1))</f>
      </c>
      <c r="L103" s="322" cm="1">
        <f t="array" ref="L103">IF(AND($D103="",$E103=""),"",INDEX('Teams Master'!$D$2:$D$14,INT((ROW()-2)/20)+1))</f>
      </c>
      <c r="M103" s="194">
        <f t="shared" si="6"/>
      </c>
      <c r="N103" s="194">
        <f t="shared" si="7"/>
      </c>
    </row>
    <row r="104" spans="1:14">
      <c r="A104" s="322" cm="1">
        <f t="array" ref="A104">INDEX('Teams Master'!$C$2:$C$14,INT((ROW()-2)/20)+1)</f>
      </c>
      <c r="B104" s="194">
        <f t="shared" si="4"/>
      </c>
      <c r="C104" s="319">
        <v>97</v>
      </c>
      <c r="D104" s="319" t="s">
        <v>1096</v>
      </c>
      <c r="E104" s="319" t="s">
        <v>1181</v>
      </c>
      <c r="F104" s="319" t="s">
        <v>1021</v>
      </c>
      <c r="G104" s="194">
        <f t="shared" si="5"/>
      </c>
      <c r="H104" s="319"/>
      <c r="I104" s="319"/>
      <c r="J104" s="319"/>
      <c r="K104" s="322" cm="1">
        <f t="array" ref="K104">IF(AND($D104="",$E104=""),"",INDEX('Teams Master'!$A$2:$A$14,INT((ROW()-2)/20)+1))</f>
      </c>
      <c r="L104" s="322" cm="1">
        <f t="array" ref="L104">IF(AND($D104="",$E104=""),"",INDEX('Teams Master'!$D$2:$D$14,INT((ROW()-2)/20)+1))</f>
      </c>
      <c r="M104" s="194">
        <f t="shared" si="6"/>
      </c>
      <c r="N104" s="194">
        <f t="shared" si="7"/>
      </c>
    </row>
    <row r="105" spans="1:14">
      <c r="A105" s="322" cm="1">
        <f t="array" ref="A105">INDEX('Teams Master'!$C$2:$C$14,INT((ROW()-2)/20)+1)</f>
      </c>
      <c r="B105" s="194">
        <f t="shared" si="4"/>
      </c>
      <c r="C105" s="319">
        <v>94</v>
      </c>
      <c r="D105" s="319" t="s">
        <v>1206</v>
      </c>
      <c r="E105" s="319" t="s">
        <v>1183</v>
      </c>
      <c r="F105" s="319" t="s">
        <v>1021</v>
      </c>
      <c r="G105" s="194">
        <f t="shared" si="5"/>
      </c>
      <c r="H105" s="319"/>
      <c r="I105" s="319"/>
      <c r="J105" s="319"/>
      <c r="K105" s="322" cm="1">
        <f t="array" ref="K105">IF(AND($D105="",$E105=""),"",INDEX('Teams Master'!$A$2:$A$14,INT((ROW()-2)/20)+1))</f>
      </c>
      <c r="L105" s="322" cm="1">
        <f t="array" ref="L105">IF(AND($D105="",$E105=""),"",INDEX('Teams Master'!$D$2:$D$14,INT((ROW()-2)/20)+1))</f>
      </c>
      <c r="M105" s="194">
        <f t="shared" si="6"/>
      </c>
      <c r="N105" s="194">
        <f t="shared" si="7"/>
      </c>
    </row>
    <row r="106" spans="1:14">
      <c r="A106" s="322" cm="1">
        <f t="array" ref="A106">INDEX('Teams Master'!$C$2:$C$14,INT((ROW()-2)/20)+1)</f>
      </c>
      <c r="B106" s="194">
        <f t="shared" si="4"/>
      </c>
      <c r="C106" s="319">
        <v>62</v>
      </c>
      <c r="D106" s="319" t="s">
        <v>1207</v>
      </c>
      <c r="E106" s="319" t="s">
        <v>1084</v>
      </c>
      <c r="F106" s="319" t="s">
        <v>1026</v>
      </c>
      <c r="G106" s="194">
        <f t="shared" si="5"/>
      </c>
      <c r="H106" s="319"/>
      <c r="I106" s="319"/>
      <c r="J106" s="319"/>
      <c r="K106" s="322" cm="1">
        <f t="array" ref="K106">IF(AND($D106="",$E106=""),"",INDEX('Teams Master'!$A$2:$A$14,INT((ROW()-2)/20)+1))</f>
      </c>
      <c r="L106" s="322" cm="1">
        <f t="array" ref="L106">IF(AND($D106="",$E106=""),"",INDEX('Teams Master'!$D$2:$D$14,INT((ROW()-2)/20)+1))</f>
      </c>
      <c r="M106" s="194">
        <f t="shared" si="6"/>
      </c>
      <c r="N106" s="194">
        <f t="shared" si="7"/>
      </c>
    </row>
    <row r="107" spans="1:14">
      <c r="A107" s="322" cm="1">
        <f t="array" ref="A107">INDEX('Teams Master'!$C$2:$C$14,INT((ROW()-2)/20)+1)</f>
      </c>
      <c r="B107" s="194">
        <f t="shared" si="4"/>
      </c>
      <c r="C107" s="319">
        <v>54</v>
      </c>
      <c r="D107" s="319" t="s">
        <v>1096</v>
      </c>
      <c r="E107" s="319" t="s">
        <v>1208</v>
      </c>
      <c r="F107" s="319" t="s">
        <v>1026</v>
      </c>
      <c r="G107" s="194">
        <f t="shared" si="5"/>
      </c>
      <c r="H107" s="319"/>
      <c r="I107" s="319"/>
      <c r="J107" s="319"/>
      <c r="K107" s="322" cm="1">
        <f t="array" ref="K107">IF(AND($D107="",$E107=""),"",INDEX('Teams Master'!$A$2:$A$14,INT((ROW()-2)/20)+1))</f>
      </c>
      <c r="L107" s="322" cm="1">
        <f t="array" ref="L107">IF(AND($D107="",$E107=""),"",INDEX('Teams Master'!$D$2:$D$14,INT((ROW()-2)/20)+1))</f>
      </c>
      <c r="M107" s="194">
        <f t="shared" si="6"/>
      </c>
      <c r="N107" s="194">
        <f t="shared" si="7"/>
      </c>
    </row>
    <row r="108" spans="1:14">
      <c r="A108" s="322" cm="1">
        <f t="array" ref="A108">INDEX('Teams Master'!$C$2:$C$14,INT((ROW()-2)/20)+1)</f>
      </c>
      <c r="B108" s="194">
        <f t="shared" si="4"/>
      </c>
      <c r="C108" s="319">
        <v>98</v>
      </c>
      <c r="D108" s="319" t="s">
        <v>1209</v>
      </c>
      <c r="E108" s="319" t="s">
        <v>1194</v>
      </c>
      <c r="F108" s="319" t="s">
        <v>1026</v>
      </c>
      <c r="G108" s="194">
        <f t="shared" si="5"/>
      </c>
      <c r="H108" s="319"/>
      <c r="I108" s="319"/>
      <c r="J108" s="319"/>
      <c r="K108" s="322" cm="1">
        <f t="array" ref="K108">IF(AND($D108="",$E108=""),"",INDEX('Teams Master'!$A$2:$A$14,INT((ROW()-2)/20)+1))</f>
      </c>
      <c r="L108" s="322" cm="1">
        <f t="array" ref="L108">IF(AND($D108="",$E108=""),"",INDEX('Teams Master'!$D$2:$D$14,INT((ROW()-2)/20)+1))</f>
      </c>
      <c r="M108" s="194">
        <f t="shared" si="6"/>
      </c>
      <c r="N108" s="194">
        <f t="shared" si="7"/>
      </c>
    </row>
    <row r="109" spans="1:14">
      <c r="A109" s="322" cm="1">
        <f t="array" ref="A109">INDEX('Teams Master'!$C$2:$C$14,INT((ROW()-2)/20)+1)</f>
      </c>
      <c r="B109" s="194">
        <f t="shared" si="4"/>
      </c>
      <c r="C109" s="319">
        <v>28</v>
      </c>
      <c r="D109" s="319" t="s">
        <v>1083</v>
      </c>
      <c r="E109" s="319" t="s">
        <v>1210</v>
      </c>
      <c r="F109" s="319" t="s">
        <v>1033</v>
      </c>
      <c r="G109" s="194">
        <f t="shared" si="5"/>
      </c>
      <c r="H109" s="319"/>
      <c r="I109" s="319"/>
      <c r="J109" s="319"/>
      <c r="K109" s="322" cm="1">
        <f t="array" ref="K109">IF(AND($D109="",$E109=""),"",INDEX('Teams Master'!$A$2:$A$14,INT((ROW()-2)/20)+1))</f>
      </c>
      <c r="L109" s="322" cm="1">
        <f t="array" ref="L109">IF(AND($D109="",$E109=""),"",INDEX('Teams Master'!$D$2:$D$14,INT((ROW()-2)/20)+1))</f>
      </c>
      <c r="M109" s="194">
        <f t="shared" si="6"/>
      </c>
      <c r="N109" s="194">
        <f t="shared" si="7"/>
      </c>
    </row>
    <row r="110" spans="1:14">
      <c r="A110" s="322" cm="1">
        <f t="array" ref="A110">INDEX('Teams Master'!$C$2:$C$14,INT((ROW()-2)/20)+1)</f>
      </c>
      <c r="B110" s="194">
        <f t="shared" si="4"/>
      </c>
      <c r="C110" s="319">
        <v>16</v>
      </c>
      <c r="D110" s="319" t="s">
        <v>1211</v>
      </c>
      <c r="E110" s="319" t="s">
        <v>1127</v>
      </c>
      <c r="F110" s="319" t="s">
        <v>1033</v>
      </c>
      <c r="G110" s="194">
        <f t="shared" si="5"/>
      </c>
      <c r="H110" s="319"/>
      <c r="I110" s="319"/>
      <c r="J110" s="319"/>
      <c r="K110" s="322" cm="1">
        <f t="array" ref="K110">IF(AND($D110="",$E110=""),"",INDEX('Teams Master'!$A$2:$A$14,INT((ROW()-2)/20)+1))</f>
      </c>
      <c r="L110" s="322" cm="1">
        <f t="array" ref="L110">IF(AND($D110="",$E110=""),"",INDEX('Teams Master'!$D$2:$D$14,INT((ROW()-2)/20)+1))</f>
      </c>
      <c r="M110" s="194">
        <f t="shared" si="6"/>
      </c>
      <c r="N110" s="194">
        <f t="shared" si="7"/>
      </c>
    </row>
    <row r="111" spans="1:14">
      <c r="A111" s="322" cm="1">
        <f t="array" ref="A111">INDEX('Teams Master'!$C$2:$C$14,INT((ROW()-2)/20)+1)</f>
      </c>
      <c r="B111" s="194">
        <f t="shared" si="4"/>
      </c>
      <c r="C111" s="319">
        <v>39</v>
      </c>
      <c r="D111" s="319" t="s">
        <v>1212</v>
      </c>
      <c r="E111" s="319" t="s">
        <v>1126</v>
      </c>
      <c r="F111" s="319" t="s">
        <v>1033</v>
      </c>
      <c r="G111" s="194">
        <f t="shared" si="5"/>
      </c>
      <c r="H111" s="319"/>
      <c r="I111" s="319"/>
      <c r="J111" s="319"/>
      <c r="K111" s="322" cm="1">
        <f t="array" ref="K111">IF(AND($D111="",$E111=""),"",INDEX('Teams Master'!$A$2:$A$14,INT((ROW()-2)/20)+1))</f>
      </c>
      <c r="L111" s="322" cm="1">
        <f t="array" ref="L111">IF(AND($D111="",$E111=""),"",INDEX('Teams Master'!$D$2:$D$14,INT((ROW()-2)/20)+1))</f>
      </c>
      <c r="M111" s="194">
        <f t="shared" si="6"/>
      </c>
      <c r="N111" s="194">
        <f t="shared" si="7"/>
      </c>
    </row>
    <row r="112" spans="1:14">
      <c r="A112" s="322" cm="1">
        <f t="array" ref="A112">INDEX('Teams Master'!$C$2:$C$14,INT((ROW()-2)/20)+1)</f>
      </c>
      <c r="B112" s="194">
        <f t="shared" si="4"/>
      </c>
      <c r="C112" s="319">
        <v>49</v>
      </c>
      <c r="D112" s="319" t="s">
        <v>1079</v>
      </c>
      <c r="E112" s="319" t="s">
        <v>1030</v>
      </c>
      <c r="F112" s="319" t="s">
        <v>1040</v>
      </c>
      <c r="G112" s="194">
        <f t="shared" si="5"/>
      </c>
      <c r="H112" s="319"/>
      <c r="I112" s="319"/>
      <c r="J112" s="319"/>
      <c r="K112" s="322" cm="1">
        <f t="array" ref="K112">IF(AND($D112="",$E112=""),"",INDEX('Teams Master'!$A$2:$A$14,INT((ROW()-2)/20)+1))</f>
      </c>
      <c r="L112" s="322" cm="1">
        <f t="array" ref="L112">IF(AND($D112="",$E112=""),"",INDEX('Teams Master'!$D$2:$D$14,INT((ROW()-2)/20)+1))</f>
      </c>
      <c r="M112" s="194">
        <f t="shared" si="6"/>
      </c>
      <c r="N112" s="194">
        <f t="shared" si="7"/>
      </c>
    </row>
    <row r="113" spans="1:14">
      <c r="A113" s="322" cm="1">
        <f t="array" ref="A113">INDEX('Teams Master'!$C$2:$C$14,INT((ROW()-2)/20)+1)</f>
      </c>
      <c r="B113" s="194">
        <f t="shared" si="4"/>
      </c>
      <c r="C113" s="319">
        <v>55</v>
      </c>
      <c r="D113" s="319" t="s">
        <v>1073</v>
      </c>
      <c r="E113" s="319" t="s">
        <v>1058</v>
      </c>
      <c r="F113" s="319" t="s">
        <v>1040</v>
      </c>
      <c r="G113" s="194">
        <f t="shared" si="5"/>
      </c>
      <c r="H113" s="319"/>
      <c r="I113" s="319"/>
      <c r="J113" s="319"/>
      <c r="K113" s="322" cm="1">
        <f t="array" ref="K113">IF(AND($D113="",$E113=""),"",INDEX('Teams Master'!$A$2:$A$14,INT((ROW()-2)/20)+1))</f>
      </c>
      <c r="L113" s="322" cm="1">
        <f t="array" ref="L113">IF(AND($D113="",$E113=""),"",INDEX('Teams Master'!$D$2:$D$14,INT((ROW()-2)/20)+1))</f>
      </c>
      <c r="M113" s="194">
        <f t="shared" si="6"/>
      </c>
      <c r="N113" s="194">
        <f t="shared" si="7"/>
      </c>
    </row>
    <row r="114" spans="1:14">
      <c r="A114" s="322" cm="1">
        <f t="array" ref="A114">INDEX('Teams Master'!$C$2:$C$14,INT((ROW()-2)/20)+1)</f>
      </c>
      <c r="B114" s="194">
        <f t="shared" si="4"/>
      </c>
      <c r="C114" s="319">
        <v>23</v>
      </c>
      <c r="D114" s="319" t="s">
        <v>1212</v>
      </c>
      <c r="E114" s="319" t="s">
        <v>1058</v>
      </c>
      <c r="F114" s="319" t="s">
        <v>1045</v>
      </c>
      <c r="G114" s="194">
        <f t="shared" si="5"/>
      </c>
      <c r="H114" s="319"/>
      <c r="I114" s="319"/>
      <c r="J114" s="319"/>
      <c r="K114" s="322" cm="1">
        <f t="array" ref="K114">IF(AND($D114="",$E114=""),"",INDEX('Teams Master'!$A$2:$A$14,INT((ROW()-2)/20)+1))</f>
      </c>
      <c r="L114" s="322" cm="1">
        <f t="array" ref="L114">IF(AND($D114="",$E114=""),"",INDEX('Teams Master'!$D$2:$D$14,INT((ROW()-2)/20)+1))</f>
      </c>
      <c r="M114" s="194">
        <f t="shared" si="6"/>
      </c>
      <c r="N114" s="194">
        <f t="shared" si="7"/>
      </c>
    </row>
    <row r="115" spans="1:14">
      <c r="A115" s="322" cm="1">
        <f t="array" ref="A115">INDEX('Teams Master'!$C$2:$C$14,INT((ROW()-2)/20)+1)</f>
      </c>
      <c r="B115" s="194">
        <f t="shared" si="4"/>
      </c>
      <c r="C115" s="319">
        <v>91</v>
      </c>
      <c r="D115" s="319" t="s">
        <v>1094</v>
      </c>
      <c r="E115" s="319" t="s">
        <v>1213</v>
      </c>
      <c r="F115" s="319" t="s">
        <v>1045</v>
      </c>
      <c r="G115" s="194">
        <f t="shared" si="5"/>
      </c>
      <c r="H115" s="319"/>
      <c r="I115" s="319"/>
      <c r="J115" s="319"/>
      <c r="K115" s="322" cm="1">
        <f t="array" ref="K115">IF(AND($D115="",$E115=""),"",INDEX('Teams Master'!$A$2:$A$14,INT((ROW()-2)/20)+1))</f>
      </c>
      <c r="L115" s="322" cm="1">
        <f t="array" ref="L115">IF(AND($D115="",$E115=""),"",INDEX('Teams Master'!$D$2:$D$14,INT((ROW()-2)/20)+1))</f>
      </c>
      <c r="M115" s="194">
        <f t="shared" si="6"/>
      </c>
      <c r="N115" s="194">
        <f t="shared" si="7"/>
      </c>
    </row>
    <row r="116" spans="1:14">
      <c r="A116" s="322" cm="1">
        <f t="array" ref="A116">INDEX('Teams Master'!$C$2:$C$14,INT((ROW()-2)/20)+1)</f>
      </c>
      <c r="B116" s="194">
        <f t="shared" si="4"/>
      </c>
      <c r="C116" s="319">
        <v>59</v>
      </c>
      <c r="D116" s="319" t="s">
        <v>1214</v>
      </c>
      <c r="E116" s="319" t="s">
        <v>1215</v>
      </c>
      <c r="F116" s="319" t="s">
        <v>1050</v>
      </c>
      <c r="G116" s="194">
        <f t="shared" si="5"/>
      </c>
      <c r="H116" s="319"/>
      <c r="I116" s="319"/>
      <c r="J116" s="319"/>
      <c r="K116" s="322" cm="1">
        <f t="array" ref="K116">IF(AND($D116="",$E116=""),"",INDEX('Teams Master'!$A$2:$A$14,INT((ROW()-2)/20)+1))</f>
      </c>
      <c r="L116" s="322" cm="1">
        <f t="array" ref="L116">IF(AND($D116="",$E116=""),"",INDEX('Teams Master'!$D$2:$D$14,INT((ROW()-2)/20)+1))</f>
      </c>
      <c r="M116" s="194">
        <f t="shared" si="6"/>
      </c>
      <c r="N116" s="194">
        <f t="shared" si="7"/>
      </c>
    </row>
    <row r="117" spans="1:14">
      <c r="A117" s="322" cm="1">
        <f t="array" ref="A117">INDEX('Teams Master'!$C$2:$C$14,INT((ROW()-2)/20)+1)</f>
      </c>
      <c r="B117" s="194">
        <f t="shared" si="4"/>
      </c>
      <c r="C117" s="319">
        <v>52</v>
      </c>
      <c r="D117" s="319" t="s">
        <v>1216</v>
      </c>
      <c r="E117" s="319" t="s">
        <v>1158</v>
      </c>
      <c r="F117" s="319" t="s">
        <v>1050</v>
      </c>
      <c r="G117" s="194">
        <f t="shared" si="5"/>
      </c>
      <c r="H117" s="319"/>
      <c r="I117" s="319"/>
      <c r="J117" s="319"/>
      <c r="K117" s="322" cm="1">
        <f t="array" ref="K117">IF(AND($D117="",$E117=""),"",INDEX('Teams Master'!$A$2:$A$14,INT((ROW()-2)/20)+1))</f>
      </c>
      <c r="L117" s="322" cm="1">
        <f t="array" ref="L117">IF(AND($D117="",$E117=""),"",INDEX('Teams Master'!$D$2:$D$14,INT((ROW()-2)/20)+1))</f>
      </c>
      <c r="M117" s="194">
        <f t="shared" si="6"/>
      </c>
      <c r="N117" s="194">
        <f t="shared" si="7"/>
      </c>
    </row>
    <row r="118" spans="1:14">
      <c r="A118" s="373" cm="1">
        <f t="array" ref="A118">INDEX('Teams Master'!$C$2:$C$14,INT((ROW()-2)/20)+1)</f>
      </c>
      <c r="B118" s="196">
        <f t="shared" si="4"/>
      </c>
      <c r="C118" s="630"/>
      <c r="D118" s="630" t="s">
        <v>1217</v>
      </c>
      <c r="E118" s="630" t="s">
        <v>1218</v>
      </c>
      <c r="F118" s="630"/>
      <c r="G118" s="196">
        <f t="shared" si="5"/>
      </c>
      <c r="H118" s="630" t="s">
        <v>1219</v>
      </c>
      <c r="I118" s="630" t="s">
        <v>1220</v>
      </c>
      <c r="J118" s="630"/>
      <c r="K118" s="373" cm="1">
        <f t="array" ref="K118">IF(AND($D118="",$E118=""),"",INDEX('Teams Master'!$A$2:$A$14,INT((ROW()-2)/20)+1))</f>
      </c>
      <c r="L118" s="373" cm="1">
        <f t="array" ref="L118">IF(AND($D118="",$E118=""),"",INDEX('Teams Master'!$D$2:$D$14,INT((ROW()-2)/20)+1))</f>
      </c>
      <c r="M118" s="196">
        <f t="shared" si="6"/>
      </c>
      <c r="N118" s="196">
        <f t="shared" si="7"/>
      </c>
    </row>
    <row r="119" spans="1:14">
      <c r="A119" s="373" cm="1">
        <f t="array" ref="A119">INDEX('Teams Master'!$C$2:$C$14,INT((ROW()-2)/20)+1)</f>
      </c>
      <c r="B119" s="196">
        <f t="shared" si="4"/>
      </c>
      <c r="C119" s="630"/>
      <c r="D119" s="630" t="s">
        <v>1051</v>
      </c>
      <c r="E119" s="630" t="s">
        <v>1221</v>
      </c>
      <c r="F119" s="630"/>
      <c r="G119" s="196">
        <f t="shared" si="5"/>
      </c>
      <c r="H119" s="630" t="s">
        <v>1222</v>
      </c>
      <c r="I119" s="630" t="s">
        <v>1223</v>
      </c>
      <c r="J119" s="630"/>
      <c r="K119" s="373" cm="1">
        <f t="array" ref="K119">IF(AND($D119="",$E119=""),"",INDEX('Teams Master'!$A$2:$A$14,INT((ROW()-2)/20)+1))</f>
      </c>
      <c r="L119" s="373" cm="1">
        <f t="array" ref="L119">IF(AND($D119="",$E119=""),"",INDEX('Teams Master'!$D$2:$D$14,INT((ROW()-2)/20)+1))</f>
      </c>
      <c r="M119" s="196">
        <f t="shared" si="6"/>
      </c>
      <c r="N119" s="196">
        <f t="shared" si="7"/>
      </c>
    </row>
    <row r="120" spans="1:14">
      <c r="A120" s="373" cm="1">
        <f t="array" ref="A120">INDEX('Teams Master'!$C$2:$C$14,INT((ROW()-2)/20)+1)</f>
      </c>
      <c r="B120" s="196">
        <f t="shared" si="4"/>
      </c>
      <c r="C120" s="630"/>
      <c r="D120" s="630" t="s">
        <v>1224</v>
      </c>
      <c r="E120" s="630" t="s">
        <v>1225</v>
      </c>
      <c r="F120" s="630"/>
      <c r="G120" s="196">
        <f t="shared" si="5"/>
      </c>
      <c r="H120" s="630" t="s">
        <v>1226</v>
      </c>
      <c r="I120" s="630" t="s">
        <v>1227</v>
      </c>
      <c r="J120" s="630"/>
      <c r="K120" s="373" cm="1">
        <f t="array" ref="K120">IF(AND($D120="",$E120=""),"",INDEX('Teams Master'!$A$2:$A$14,INT((ROW()-2)/20)+1))</f>
      </c>
      <c r="L120" s="373" cm="1">
        <f t="array" ref="L120">IF(AND($D120="",$E120=""),"",INDEX('Teams Master'!$D$2:$D$14,INT((ROW()-2)/20)+1))</f>
      </c>
      <c r="M120" s="196">
        <f t="shared" si="6"/>
      </c>
      <c r="N120" s="196">
        <f t="shared" si="7"/>
      </c>
    </row>
    <row r="121" spans="1:14" ht="15" thickBot="1">
      <c r="A121" s="373" cm="1">
        <f t="array" ref="A121">INDEX('Teams Master'!$C$2:$C$14,INT((ROW()-2)/20)+1)</f>
      </c>
      <c r="B121" s="196">
        <f t="shared" si="4"/>
      </c>
      <c r="C121" s="630"/>
      <c r="D121" s="630" t="s">
        <v>1224</v>
      </c>
      <c r="E121" s="630" t="s">
        <v>1044</v>
      </c>
      <c r="F121" s="630"/>
      <c r="G121" s="196">
        <f t="shared" si="5"/>
      </c>
      <c r="H121" s="630" t="s">
        <v>1228</v>
      </c>
      <c r="I121" s="630" t="s">
        <v>1229</v>
      </c>
      <c r="J121" s="630"/>
      <c r="K121" s="373" cm="1">
        <f t="array" ref="K121">IF(AND($D121="",$E121=""),"",INDEX('Teams Master'!$A$2:$A$14,INT((ROW()-2)/20)+1))</f>
      </c>
      <c r="L121" s="373" cm="1">
        <f t="array" ref="L121">IF(AND($D121="",$E121=""),"",INDEX('Teams Master'!$D$2:$D$14,INT((ROW()-2)/20)+1))</f>
      </c>
      <c r="M121" s="196">
        <f t="shared" si="6"/>
      </c>
      <c r="N121" s="196">
        <f t="shared" si="7"/>
      </c>
    </row>
    <row r="122" spans="1:14">
      <c r="A122" s="627" cm="1">
        <f t="array" ref="A122">INDEX('Teams Master'!$C$2:$C$14,INT((ROW()-2)/20)+1)</f>
      </c>
      <c r="B122" s="628">
        <f t="shared" si="4"/>
      </c>
      <c r="C122" s="629">
        <v>1</v>
      </c>
      <c r="D122" s="629" t="s">
        <v>1230</v>
      </c>
      <c r="E122" s="629" t="s">
        <v>1183</v>
      </c>
      <c r="F122" s="629" t="s">
        <v>1014</v>
      </c>
      <c r="G122" s="628">
        <f t="shared" si="5"/>
      </c>
      <c r="H122" s="629"/>
      <c r="I122" s="629"/>
      <c r="J122" s="629"/>
      <c r="K122" s="627" cm="1">
        <f t="array" ref="K122">IF(AND($D122="",$E122=""),"",INDEX('Teams Master'!$A$2:$A$14,INT((ROW()-2)/20)+1))</f>
      </c>
      <c r="L122" s="627" cm="1">
        <f t="array" ref="L122">IF(AND($D122="",$E122=""),"",INDEX('Teams Master'!$D$2:$D$14,INT((ROW()-2)/20)+1))</f>
      </c>
      <c r="M122" s="628">
        <f t="shared" si="6"/>
      </c>
      <c r="N122" s="628">
        <f t="shared" si="7"/>
      </c>
    </row>
    <row r="123" spans="1:14">
      <c r="A123" s="322" cm="1">
        <f t="array" ref="A123">INDEX('Teams Master'!$C$2:$C$14,INT((ROW()-2)/20)+1)</f>
      </c>
      <c r="B123" s="194">
        <f t="shared" si="4"/>
      </c>
      <c r="C123" s="319">
        <v>12</v>
      </c>
      <c r="D123" s="319" t="s">
        <v>1024</v>
      </c>
      <c r="E123" s="319" t="s">
        <v>1210</v>
      </c>
      <c r="F123" s="319" t="s">
        <v>1014</v>
      </c>
      <c r="G123" s="194">
        <f t="shared" si="5"/>
      </c>
      <c r="H123" s="319"/>
      <c r="I123" s="319"/>
      <c r="J123" s="319"/>
      <c r="K123" s="322" cm="1">
        <f t="array" ref="K123">IF(AND($D123="",$E123=""),"",INDEX('Teams Master'!$A$2:$A$14,INT((ROW()-2)/20)+1))</f>
      </c>
      <c r="L123" s="322" cm="1">
        <f t="array" ref="L123">IF(AND($D123="",$E123=""),"",INDEX('Teams Master'!$D$2:$D$14,INT((ROW()-2)/20)+1))</f>
      </c>
      <c r="M123" s="194">
        <f t="shared" si="6"/>
      </c>
      <c r="N123" s="194">
        <f t="shared" si="7"/>
      </c>
    </row>
    <row r="124" spans="1:14">
      <c r="A124" s="322" cm="1">
        <f t="array" ref="A124">INDEX('Teams Master'!$C$2:$C$14,INT((ROW()-2)/20)+1)</f>
      </c>
      <c r="B124" s="194">
        <f t="shared" si="4"/>
      </c>
      <c r="C124" s="319">
        <v>82</v>
      </c>
      <c r="D124" s="319" t="s">
        <v>1231</v>
      </c>
      <c r="E124" s="319" t="s">
        <v>1218</v>
      </c>
      <c r="F124" s="319" t="s">
        <v>1021</v>
      </c>
      <c r="G124" s="194">
        <f t="shared" si="5"/>
      </c>
      <c r="H124" s="319"/>
      <c r="I124" s="319"/>
      <c r="J124" s="319"/>
      <c r="K124" s="322" cm="1">
        <f t="array" ref="K124">IF(AND($D124="",$E124=""),"",INDEX('Teams Master'!$A$2:$A$14,INT((ROW()-2)/20)+1))</f>
      </c>
      <c r="L124" s="322" cm="1">
        <f t="array" ref="L124">IF(AND($D124="",$E124=""),"",INDEX('Teams Master'!$D$2:$D$14,INT((ROW()-2)/20)+1))</f>
      </c>
      <c r="M124" s="194">
        <f t="shared" si="6"/>
      </c>
      <c r="N124" s="194">
        <f t="shared" si="7"/>
      </c>
    </row>
    <row r="125" spans="1:14">
      <c r="A125" s="322" cm="1">
        <f t="array" ref="A125">INDEX('Teams Master'!$C$2:$C$14,INT((ROW()-2)/20)+1)</f>
      </c>
      <c r="B125" s="194">
        <f t="shared" si="4"/>
      </c>
      <c r="C125" s="319">
        <v>39</v>
      </c>
      <c r="D125" s="319" t="s">
        <v>1231</v>
      </c>
      <c r="E125" s="319" t="s">
        <v>1116</v>
      </c>
      <c r="F125" s="319" t="s">
        <v>1021</v>
      </c>
      <c r="G125" s="194">
        <f t="shared" si="5"/>
      </c>
      <c r="H125" s="319"/>
      <c r="I125" s="319"/>
      <c r="J125" s="319"/>
      <c r="K125" s="322" cm="1">
        <f t="array" ref="K125">IF(AND($D125="",$E125=""),"",INDEX('Teams Master'!$A$2:$A$14,INT((ROW()-2)/20)+1))</f>
      </c>
      <c r="L125" s="322" cm="1">
        <f t="array" ref="L125">IF(AND($D125="",$E125=""),"",INDEX('Teams Master'!$D$2:$D$14,INT((ROW()-2)/20)+1))</f>
      </c>
      <c r="M125" s="194">
        <f t="shared" si="6"/>
      </c>
      <c r="N125" s="194">
        <f t="shared" si="7"/>
      </c>
    </row>
    <row r="126" spans="1:14">
      <c r="A126" s="322" cm="1">
        <f t="array" ref="A126">INDEX('Teams Master'!$C$2:$C$14,INT((ROW()-2)/20)+1)</f>
      </c>
      <c r="B126" s="194">
        <f t="shared" si="4"/>
      </c>
      <c r="C126" s="319">
        <v>62</v>
      </c>
      <c r="D126" s="319" t="s">
        <v>1081</v>
      </c>
      <c r="E126" s="319" t="s">
        <v>1035</v>
      </c>
      <c r="F126" s="319" t="s">
        <v>1026</v>
      </c>
      <c r="G126" s="194">
        <f t="shared" si="5"/>
      </c>
      <c r="H126" s="319"/>
      <c r="I126" s="319"/>
      <c r="J126" s="319"/>
      <c r="K126" s="322" cm="1">
        <f t="array" ref="K126">IF(AND($D126="",$E126=""),"",INDEX('Teams Master'!$A$2:$A$14,INT((ROW()-2)/20)+1))</f>
      </c>
      <c r="L126" s="322" cm="1">
        <f t="array" ref="L126">IF(AND($D126="",$E126=""),"",INDEX('Teams Master'!$D$2:$D$14,INT((ROW()-2)/20)+1))</f>
      </c>
      <c r="M126" s="194">
        <f t="shared" si="6"/>
      </c>
      <c r="N126" s="194">
        <f t="shared" si="7"/>
      </c>
    </row>
    <row r="127" spans="1:14">
      <c r="A127" s="322" cm="1">
        <f t="array" ref="A127">INDEX('Teams Master'!$C$2:$C$14,INT((ROW()-2)/20)+1)</f>
      </c>
      <c r="B127" s="194">
        <f t="shared" si="4"/>
      </c>
      <c r="C127" s="319">
        <v>58</v>
      </c>
      <c r="D127" s="319" t="s">
        <v>1036</v>
      </c>
      <c r="E127" s="319" t="s">
        <v>1232</v>
      </c>
      <c r="F127" s="319" t="s">
        <v>1026</v>
      </c>
      <c r="G127" s="194">
        <f t="shared" si="5"/>
      </c>
      <c r="H127" s="319"/>
      <c r="I127" s="319"/>
      <c r="J127" s="319"/>
      <c r="K127" s="322" cm="1">
        <f t="array" ref="K127">IF(AND($D127="",$E127=""),"",INDEX('Teams Master'!$A$2:$A$14,INT((ROW()-2)/20)+1))</f>
      </c>
      <c r="L127" s="322" cm="1">
        <f t="array" ref="L127">IF(AND($D127="",$E127=""),"",INDEX('Teams Master'!$D$2:$D$14,INT((ROW()-2)/20)+1))</f>
      </c>
      <c r="M127" s="194">
        <f t="shared" si="6"/>
      </c>
      <c r="N127" s="194">
        <f t="shared" si="7"/>
      </c>
    </row>
    <row r="128" spans="1:14">
      <c r="A128" s="322" cm="1">
        <f t="array" ref="A128">INDEX('Teams Master'!$C$2:$C$14,INT((ROW()-2)/20)+1)</f>
      </c>
      <c r="B128" s="194">
        <f t="shared" si="4"/>
      </c>
      <c r="C128" s="319">
        <v>38</v>
      </c>
      <c r="D128" s="319" t="s">
        <v>1233</v>
      </c>
      <c r="E128" s="319" t="s">
        <v>1154</v>
      </c>
      <c r="F128" s="319" t="s">
        <v>1026</v>
      </c>
      <c r="G128" s="194">
        <f t="shared" si="5"/>
      </c>
      <c r="H128" s="319"/>
      <c r="I128" s="319"/>
      <c r="J128" s="319"/>
      <c r="K128" s="322" cm="1">
        <f t="array" ref="K128">IF(AND($D128="",$E128=""),"",INDEX('Teams Master'!$A$2:$A$14,INT((ROW()-2)/20)+1))</f>
      </c>
      <c r="L128" s="322" cm="1">
        <f t="array" ref="L128">IF(AND($D128="",$E128=""),"",INDEX('Teams Master'!$D$2:$D$14,INT((ROW()-2)/20)+1))</f>
      </c>
      <c r="M128" s="194">
        <f t="shared" si="6"/>
      </c>
      <c r="N128" s="194">
        <f t="shared" si="7"/>
      </c>
    </row>
    <row r="129" spans="1:14">
      <c r="A129" s="322" cm="1">
        <f t="array" ref="A129">INDEX('Teams Master'!$C$2:$C$14,INT((ROW()-2)/20)+1)</f>
      </c>
      <c r="B129" s="194">
        <f t="shared" si="4"/>
      </c>
      <c r="C129" s="319">
        <v>18</v>
      </c>
      <c r="D129" s="319" t="s">
        <v>1112</v>
      </c>
      <c r="E129" s="319" t="s">
        <v>1194</v>
      </c>
      <c r="F129" s="319" t="s">
        <v>1033</v>
      </c>
      <c r="G129" s="194">
        <f t="shared" si="5"/>
      </c>
      <c r="H129" s="319"/>
      <c r="I129" s="319"/>
      <c r="J129" s="319"/>
      <c r="K129" s="322" cm="1">
        <f t="array" ref="K129">IF(AND($D129="",$E129=""),"",INDEX('Teams Master'!$A$2:$A$14,INT((ROW()-2)/20)+1))</f>
      </c>
      <c r="L129" s="322" cm="1">
        <f t="array" ref="L129">IF(AND($D129="",$E129=""),"",INDEX('Teams Master'!$D$2:$D$14,INT((ROW()-2)/20)+1))</f>
      </c>
      <c r="M129" s="194">
        <f t="shared" si="6"/>
      </c>
      <c r="N129" s="194">
        <f t="shared" si="7"/>
      </c>
    </row>
    <row r="130" spans="1:14">
      <c r="A130" s="322" cm="1">
        <f t="array" ref="A130">INDEX('Teams Master'!$C$2:$C$14,INT((ROW()-2)/20)+1)</f>
      </c>
      <c r="B130" s="194">
        <f t="shared" ref="B130:B193" si="8">IF(MOD(ROW()-2,20)+1&lt;=16,"Player","Official")</f>
      </c>
      <c r="C130" s="319">
        <v>59</v>
      </c>
      <c r="D130" s="319" t="s">
        <v>1178</v>
      </c>
      <c r="E130" s="319" t="s">
        <v>1183</v>
      </c>
      <c r="F130" s="319" t="s">
        <v>1033</v>
      </c>
      <c r="G130" s="194">
        <f t="shared" ref="G130:G193" si="9">IF(MOD(ROW()-2,20)+1&lt;=16,"Player","Official "&amp;MID("ABCD",MOD(ROW()-2,20)-15,1))</f>
      </c>
      <c r="H130" s="319"/>
      <c r="I130" s="319"/>
      <c r="J130" s="319"/>
      <c r="K130" s="322" cm="1">
        <f t="array" ref="K130">IF(AND($D130="",$E130=""),"",INDEX('Teams Master'!$A$2:$A$14,INT((ROW()-2)/20)+1))</f>
      </c>
      <c r="L130" s="322" cm="1">
        <f t="array" ref="L130">IF(AND($D130="",$E130=""),"",INDEX('Teams Master'!$D$2:$D$14,INT((ROW()-2)/20)+1))</f>
      </c>
      <c r="M130" s="194">
        <f t="shared" ref="M130:M193" si="10">IF(AND($D130="",$E130=""),"",TRIM($D130&amp;" "&amp;$E130))</f>
      </c>
      <c r="N130" s="194">
        <f t="shared" ref="N130:N193" si="11">IF(AND($D130="",$E130=""),"",$A130&amp;"|"&amp;$G130)</f>
      </c>
    </row>
    <row r="131" spans="1:14">
      <c r="A131" s="322" cm="1">
        <f t="array" ref="A131">INDEX('Teams Master'!$C$2:$C$14,INT((ROW()-2)/20)+1)</f>
      </c>
      <c r="B131" s="194">
        <f t="shared" si="8"/>
      </c>
      <c r="C131" s="319">
        <v>31</v>
      </c>
      <c r="D131" s="319" t="s">
        <v>1174</v>
      </c>
      <c r="E131" s="319" t="s">
        <v>1139</v>
      </c>
      <c r="F131" s="319" t="s">
        <v>1033</v>
      </c>
      <c r="G131" s="194">
        <f t="shared" si="9"/>
      </c>
      <c r="H131" s="319"/>
      <c r="I131" s="319"/>
      <c r="J131" s="319"/>
      <c r="K131" s="322" cm="1">
        <f t="array" ref="K131">IF(AND($D131="",$E131=""),"",INDEX('Teams Master'!$A$2:$A$14,INT((ROW()-2)/20)+1))</f>
      </c>
      <c r="L131" s="322" cm="1">
        <f t="array" ref="L131">IF(AND($D131="",$E131=""),"",INDEX('Teams Master'!$D$2:$D$14,INT((ROW()-2)/20)+1))</f>
      </c>
      <c r="M131" s="194">
        <f t="shared" si="10"/>
      </c>
      <c r="N131" s="194">
        <f t="shared" si="11"/>
      </c>
    </row>
    <row r="132" spans="1:14">
      <c r="A132" s="322" cm="1">
        <f t="array" ref="A132">INDEX('Teams Master'!$C$2:$C$14,INT((ROW()-2)/20)+1)</f>
      </c>
      <c r="B132" s="194">
        <f t="shared" si="8"/>
      </c>
      <c r="C132" s="319">
        <v>90</v>
      </c>
      <c r="D132" s="319" t="s">
        <v>1022</v>
      </c>
      <c r="E132" s="319" t="s">
        <v>1127</v>
      </c>
      <c r="F132" s="319" t="s">
        <v>1040</v>
      </c>
      <c r="G132" s="194">
        <f t="shared" si="9"/>
      </c>
      <c r="H132" s="319"/>
      <c r="I132" s="319"/>
      <c r="J132" s="319"/>
      <c r="K132" s="322" cm="1">
        <f t="array" ref="K132">IF(AND($D132="",$E132=""),"",INDEX('Teams Master'!$A$2:$A$14,INT((ROW()-2)/20)+1))</f>
      </c>
      <c r="L132" s="322" cm="1">
        <f t="array" ref="L132">IF(AND($D132="",$E132=""),"",INDEX('Teams Master'!$D$2:$D$14,INT((ROW()-2)/20)+1))</f>
      </c>
      <c r="M132" s="194">
        <f t="shared" si="10"/>
      </c>
      <c r="N132" s="194">
        <f t="shared" si="11"/>
      </c>
    </row>
    <row r="133" spans="1:14">
      <c r="A133" s="322" cm="1">
        <f t="array" ref="A133">INDEX('Teams Master'!$C$2:$C$14,INT((ROW()-2)/20)+1)</f>
      </c>
      <c r="B133" s="194">
        <f t="shared" si="8"/>
      </c>
      <c r="C133" s="319">
        <v>3</v>
      </c>
      <c r="D133" s="319" t="s">
        <v>1234</v>
      </c>
      <c r="E133" s="319" t="s">
        <v>1205</v>
      </c>
      <c r="F133" s="319" t="s">
        <v>1040</v>
      </c>
      <c r="G133" s="194">
        <f t="shared" si="9"/>
      </c>
      <c r="H133" s="319"/>
      <c r="I133" s="319"/>
      <c r="J133" s="319"/>
      <c r="K133" s="322" cm="1">
        <f t="array" ref="K133">IF(AND($D133="",$E133=""),"",INDEX('Teams Master'!$A$2:$A$14,INT((ROW()-2)/20)+1))</f>
      </c>
      <c r="L133" s="322" cm="1">
        <f t="array" ref="L133">IF(AND($D133="",$E133=""),"",INDEX('Teams Master'!$D$2:$D$14,INT((ROW()-2)/20)+1))</f>
      </c>
      <c r="M133" s="194">
        <f t="shared" si="10"/>
      </c>
      <c r="N133" s="194">
        <f t="shared" si="11"/>
      </c>
    </row>
    <row r="134" spans="1:14">
      <c r="A134" s="322" cm="1">
        <f t="array" ref="A134">INDEX('Teams Master'!$C$2:$C$14,INT((ROW()-2)/20)+1)</f>
      </c>
      <c r="B134" s="194">
        <f t="shared" si="8"/>
      </c>
      <c r="C134" s="319">
        <v>37</v>
      </c>
      <c r="D134" s="319" t="s">
        <v>1150</v>
      </c>
      <c r="E134" s="319" t="s">
        <v>1076</v>
      </c>
      <c r="F134" s="319" t="s">
        <v>1045</v>
      </c>
      <c r="G134" s="194">
        <f t="shared" si="9"/>
      </c>
      <c r="H134" s="319"/>
      <c r="I134" s="319"/>
      <c r="J134" s="319"/>
      <c r="K134" s="322" cm="1">
        <f t="array" ref="K134">IF(AND($D134="",$E134=""),"",INDEX('Teams Master'!$A$2:$A$14,INT((ROW()-2)/20)+1))</f>
      </c>
      <c r="L134" s="322" cm="1">
        <f t="array" ref="L134">IF(AND($D134="",$E134=""),"",INDEX('Teams Master'!$D$2:$D$14,INT((ROW()-2)/20)+1))</f>
      </c>
      <c r="M134" s="194">
        <f t="shared" si="10"/>
      </c>
      <c r="N134" s="194">
        <f t="shared" si="11"/>
      </c>
    </row>
    <row r="135" spans="1:14">
      <c r="A135" s="322" cm="1">
        <f t="array" ref="A135">INDEX('Teams Master'!$C$2:$C$14,INT((ROW()-2)/20)+1)</f>
      </c>
      <c r="B135" s="194">
        <f t="shared" si="8"/>
      </c>
      <c r="C135" s="319">
        <v>96</v>
      </c>
      <c r="D135" s="319" t="s">
        <v>1079</v>
      </c>
      <c r="E135" s="319" t="s">
        <v>1235</v>
      </c>
      <c r="F135" s="319" t="s">
        <v>1045</v>
      </c>
      <c r="G135" s="194">
        <f t="shared" si="9"/>
      </c>
      <c r="H135" s="319"/>
      <c r="I135" s="319"/>
      <c r="J135" s="319"/>
      <c r="K135" s="322" cm="1">
        <f t="array" ref="K135">IF(AND($D135="",$E135=""),"",INDEX('Teams Master'!$A$2:$A$14,INT((ROW()-2)/20)+1))</f>
      </c>
      <c r="L135" s="322" cm="1">
        <f t="array" ref="L135">IF(AND($D135="",$E135=""),"",INDEX('Teams Master'!$D$2:$D$14,INT((ROW()-2)/20)+1))</f>
      </c>
      <c r="M135" s="194">
        <f t="shared" si="10"/>
      </c>
      <c r="N135" s="194">
        <f t="shared" si="11"/>
      </c>
    </row>
    <row r="136" spans="1:14">
      <c r="A136" s="322" cm="1">
        <f t="array" ref="A136">INDEX('Teams Master'!$C$2:$C$14,INT((ROW()-2)/20)+1)</f>
      </c>
      <c r="B136" s="194">
        <f t="shared" si="8"/>
      </c>
      <c r="C136" s="319">
        <v>68</v>
      </c>
      <c r="D136" s="319" t="s">
        <v>1236</v>
      </c>
      <c r="E136" s="319" t="s">
        <v>1237</v>
      </c>
      <c r="F136" s="319" t="s">
        <v>1050</v>
      </c>
      <c r="G136" s="194">
        <f t="shared" si="9"/>
      </c>
      <c r="H136" s="319"/>
      <c r="I136" s="319"/>
      <c r="J136" s="319"/>
      <c r="K136" s="322" cm="1">
        <f t="array" ref="K136">IF(AND($D136="",$E136=""),"",INDEX('Teams Master'!$A$2:$A$14,INT((ROW()-2)/20)+1))</f>
      </c>
      <c r="L136" s="322" cm="1">
        <f t="array" ref="L136">IF(AND($D136="",$E136=""),"",INDEX('Teams Master'!$D$2:$D$14,INT((ROW()-2)/20)+1))</f>
      </c>
      <c r="M136" s="194">
        <f t="shared" si="10"/>
      </c>
      <c r="N136" s="194">
        <f t="shared" si="11"/>
      </c>
    </row>
    <row r="137" spans="1:14">
      <c r="A137" s="322" cm="1">
        <f t="array" ref="A137">INDEX('Teams Master'!$C$2:$C$14,INT((ROW()-2)/20)+1)</f>
      </c>
      <c r="B137" s="194">
        <f t="shared" si="8"/>
      </c>
      <c r="C137" s="319">
        <v>95</v>
      </c>
      <c r="D137" s="319" t="s">
        <v>1122</v>
      </c>
      <c r="E137" s="319" t="s">
        <v>1238</v>
      </c>
      <c r="F137" s="319" t="s">
        <v>1050</v>
      </c>
      <c r="G137" s="194">
        <f t="shared" si="9"/>
      </c>
      <c r="H137" s="319"/>
      <c r="I137" s="319"/>
      <c r="J137" s="319"/>
      <c r="K137" s="322" cm="1">
        <f t="array" ref="K137">IF(AND($D137="",$E137=""),"",INDEX('Teams Master'!$A$2:$A$14,INT((ROW()-2)/20)+1))</f>
      </c>
      <c r="L137" s="322" cm="1">
        <f t="array" ref="L137">IF(AND($D137="",$E137=""),"",INDEX('Teams Master'!$D$2:$D$14,INT((ROW()-2)/20)+1))</f>
      </c>
      <c r="M137" s="194">
        <f t="shared" si="10"/>
      </c>
      <c r="N137" s="194">
        <f t="shared" si="11"/>
      </c>
    </row>
    <row r="138" spans="1:14">
      <c r="A138" s="373" cm="1">
        <f t="array" ref="A138">INDEX('Teams Master'!$C$2:$C$14,INT((ROW()-2)/20)+1)</f>
      </c>
      <c r="B138" s="196">
        <f t="shared" si="8"/>
      </c>
      <c r="C138" s="630"/>
      <c r="D138" s="630" t="s">
        <v>1239</v>
      </c>
      <c r="E138" s="630" t="s">
        <v>1147</v>
      </c>
      <c r="F138" s="630"/>
      <c r="G138" s="196">
        <f t="shared" si="9"/>
      </c>
      <c r="H138" s="630" t="s">
        <v>1240</v>
      </c>
      <c r="I138" s="630" t="s">
        <v>1241</v>
      </c>
      <c r="J138" s="630"/>
      <c r="K138" s="373" cm="1">
        <f t="array" ref="K138">IF(AND($D138="",$E138=""),"",INDEX('Teams Master'!$A$2:$A$14,INT((ROW()-2)/20)+1))</f>
      </c>
      <c r="L138" s="373" cm="1">
        <f t="array" ref="L138">IF(AND($D138="",$E138=""),"",INDEX('Teams Master'!$D$2:$D$14,INT((ROW()-2)/20)+1))</f>
      </c>
      <c r="M138" s="196">
        <f t="shared" si="10"/>
      </c>
      <c r="N138" s="196">
        <f t="shared" si="11"/>
      </c>
    </row>
    <row r="139" spans="1:14">
      <c r="A139" s="373" cm="1">
        <f t="array" ref="A139">INDEX('Teams Master'!$C$2:$C$14,INT((ROW()-2)/20)+1)</f>
      </c>
      <c r="B139" s="196">
        <f t="shared" si="8"/>
      </c>
      <c r="C139" s="630"/>
      <c r="D139" s="630" t="s">
        <v>1242</v>
      </c>
      <c r="E139" s="630" t="s">
        <v>1052</v>
      </c>
      <c r="F139" s="630"/>
      <c r="G139" s="196">
        <f t="shared" si="9"/>
      </c>
      <c r="H139" s="630" t="s">
        <v>1243</v>
      </c>
      <c r="I139" s="630" t="s">
        <v>1244</v>
      </c>
      <c r="J139" s="630"/>
      <c r="K139" s="373" cm="1">
        <f t="array" ref="K139">IF(AND($D139="",$E139=""),"",INDEX('Teams Master'!$A$2:$A$14,INT((ROW()-2)/20)+1))</f>
      </c>
      <c r="L139" s="373" cm="1">
        <f t="array" ref="L139">IF(AND($D139="",$E139=""),"",INDEX('Teams Master'!$D$2:$D$14,INT((ROW()-2)/20)+1))</f>
      </c>
      <c r="M139" s="196">
        <f t="shared" si="10"/>
      </c>
      <c r="N139" s="196">
        <f t="shared" si="11"/>
      </c>
    </row>
    <row r="140" spans="1:14">
      <c r="A140" s="373" cm="1">
        <f t="array" ref="A140">INDEX('Teams Master'!$C$2:$C$14,INT((ROW()-2)/20)+1)</f>
      </c>
      <c r="B140" s="196">
        <f t="shared" si="8"/>
      </c>
      <c r="C140" s="630"/>
      <c r="D140" s="630" t="s">
        <v>1245</v>
      </c>
      <c r="E140" s="630" t="s">
        <v>1246</v>
      </c>
      <c r="F140" s="630"/>
      <c r="G140" s="196">
        <f t="shared" si="9"/>
      </c>
      <c r="H140" s="630" t="s">
        <v>1247</v>
      </c>
      <c r="I140" s="630" t="s">
        <v>1248</v>
      </c>
      <c r="J140" s="630"/>
      <c r="K140" s="373" cm="1">
        <f t="array" ref="K140">IF(AND($D140="",$E140=""),"",INDEX('Teams Master'!$A$2:$A$14,INT((ROW()-2)/20)+1))</f>
      </c>
      <c r="L140" s="373" cm="1">
        <f t="array" ref="L140">IF(AND($D140="",$E140=""),"",INDEX('Teams Master'!$D$2:$D$14,INT((ROW()-2)/20)+1))</f>
      </c>
      <c r="M140" s="196">
        <f t="shared" si="10"/>
      </c>
      <c r="N140" s="196">
        <f t="shared" si="11"/>
      </c>
    </row>
    <row r="141" spans="1:14" ht="15" thickBot="1">
      <c r="A141" s="373" cm="1">
        <f t="array" ref="A141">INDEX('Teams Master'!$C$2:$C$14,INT((ROW()-2)/20)+1)</f>
      </c>
      <c r="B141" s="196">
        <f t="shared" si="8"/>
      </c>
      <c r="C141" s="630"/>
      <c r="D141" s="630" t="s">
        <v>1216</v>
      </c>
      <c r="E141" s="630" t="s">
        <v>1181</v>
      </c>
      <c r="F141" s="630"/>
      <c r="G141" s="196">
        <f t="shared" si="9"/>
      </c>
      <c r="H141" s="630" t="s">
        <v>1249</v>
      </c>
      <c r="I141" s="630" t="s">
        <v>1250</v>
      </c>
      <c r="J141" s="630"/>
      <c r="K141" s="373" cm="1">
        <f t="array" ref="K141">IF(AND($D141="",$E141=""),"",INDEX('Teams Master'!$A$2:$A$14,INT((ROW()-2)/20)+1))</f>
      </c>
      <c r="L141" s="373" cm="1">
        <f t="array" ref="L141">IF(AND($D141="",$E141=""),"",INDEX('Teams Master'!$D$2:$D$14,INT((ROW()-2)/20)+1))</f>
      </c>
      <c r="M141" s="196">
        <f t="shared" si="10"/>
      </c>
      <c r="N141" s="196">
        <f t="shared" si="11"/>
      </c>
    </row>
    <row r="142" spans="1:14">
      <c r="A142" s="627" cm="1">
        <f t="array" ref="A142">INDEX('Teams Master'!$C$2:$C$14,INT((ROW()-2)/20)+1)</f>
      </c>
      <c r="B142" s="628">
        <f t="shared" si="8"/>
      </c>
      <c r="C142" s="629">
        <v>1</v>
      </c>
      <c r="D142" s="629" t="s">
        <v>1178</v>
      </c>
      <c r="E142" s="629" t="s">
        <v>1251</v>
      </c>
      <c r="F142" s="629" t="s">
        <v>1014</v>
      </c>
      <c r="G142" s="628">
        <f t="shared" si="9"/>
      </c>
      <c r="H142" s="629"/>
      <c r="I142" s="629"/>
      <c r="J142" s="629"/>
      <c r="K142" s="627" cm="1">
        <f t="array" ref="K142">IF(AND($D142="",$E142=""),"",INDEX('Teams Master'!$A$2:$A$14,INT((ROW()-2)/20)+1))</f>
      </c>
      <c r="L142" s="627" cm="1">
        <f t="array" ref="L142">IF(AND($D142="",$E142=""),"",INDEX('Teams Master'!$D$2:$D$14,INT((ROW()-2)/20)+1))</f>
      </c>
      <c r="M142" s="628">
        <f t="shared" si="10"/>
      </c>
      <c r="N142" s="628">
        <f t="shared" si="11"/>
      </c>
    </row>
    <row r="143" spans="1:14">
      <c r="A143" s="322" cm="1">
        <f t="array" ref="A143">INDEX('Teams Master'!$C$2:$C$14,INT((ROW()-2)/20)+1)</f>
      </c>
      <c r="B143" s="194">
        <f t="shared" si="8"/>
      </c>
      <c r="C143" s="319">
        <v>12</v>
      </c>
      <c r="D143" s="319" t="s">
        <v>1252</v>
      </c>
      <c r="E143" s="319" t="s">
        <v>1152</v>
      </c>
      <c r="F143" s="319" t="s">
        <v>1014</v>
      </c>
      <c r="G143" s="194">
        <f t="shared" si="9"/>
      </c>
      <c r="H143" s="319"/>
      <c r="I143" s="319"/>
      <c r="J143" s="319"/>
      <c r="K143" s="322" cm="1">
        <f t="array" ref="K143">IF(AND($D143="",$E143=""),"",INDEX('Teams Master'!$A$2:$A$14,INT((ROW()-2)/20)+1))</f>
      </c>
      <c r="L143" s="322" cm="1">
        <f t="array" ref="L143">IF(AND($D143="",$E143=""),"",INDEX('Teams Master'!$D$2:$D$14,INT((ROW()-2)/20)+1))</f>
      </c>
      <c r="M143" s="194">
        <f t="shared" si="10"/>
      </c>
      <c r="N143" s="194">
        <f t="shared" si="11"/>
      </c>
    </row>
    <row r="144" spans="1:14">
      <c r="A144" s="322" cm="1">
        <f t="array" ref="A144">INDEX('Teams Master'!$C$2:$C$14,INT((ROW()-2)/20)+1)</f>
      </c>
      <c r="B144" s="194">
        <f t="shared" si="8"/>
      </c>
      <c r="C144" s="319">
        <v>5</v>
      </c>
      <c r="D144" s="319" t="s">
        <v>1132</v>
      </c>
      <c r="E144" s="319" t="s">
        <v>1091</v>
      </c>
      <c r="F144" s="319" t="s">
        <v>1021</v>
      </c>
      <c r="G144" s="194">
        <f t="shared" si="9"/>
      </c>
      <c r="H144" s="319"/>
      <c r="I144" s="319"/>
      <c r="J144" s="319"/>
      <c r="K144" s="322" cm="1">
        <f t="array" ref="K144">IF(AND($D144="",$E144=""),"",INDEX('Teams Master'!$A$2:$A$14,INT((ROW()-2)/20)+1))</f>
      </c>
      <c r="L144" s="322" cm="1">
        <f t="array" ref="L144">IF(AND($D144="",$E144=""),"",INDEX('Teams Master'!$D$2:$D$14,INT((ROW()-2)/20)+1))</f>
      </c>
      <c r="M144" s="194">
        <f t="shared" si="10"/>
      </c>
      <c r="N144" s="194">
        <f t="shared" si="11"/>
      </c>
    </row>
    <row r="145" spans="1:14">
      <c r="A145" s="322" cm="1">
        <f t="array" ref="A145">INDEX('Teams Master'!$C$2:$C$14,INT((ROW()-2)/20)+1)</f>
      </c>
      <c r="B145" s="194">
        <f t="shared" si="8"/>
      </c>
      <c r="C145" s="319">
        <v>91</v>
      </c>
      <c r="D145" s="319" t="s">
        <v>1253</v>
      </c>
      <c r="E145" s="319" t="s">
        <v>1189</v>
      </c>
      <c r="F145" s="319" t="s">
        <v>1021</v>
      </c>
      <c r="G145" s="194">
        <f t="shared" si="9"/>
      </c>
      <c r="H145" s="319"/>
      <c r="I145" s="319"/>
      <c r="J145" s="319"/>
      <c r="K145" s="322" cm="1">
        <f t="array" ref="K145">IF(AND($D145="",$E145=""),"",INDEX('Teams Master'!$A$2:$A$14,INT((ROW()-2)/20)+1))</f>
      </c>
      <c r="L145" s="322" cm="1">
        <f t="array" ref="L145">IF(AND($D145="",$E145=""),"",INDEX('Teams Master'!$D$2:$D$14,INT((ROW()-2)/20)+1))</f>
      </c>
      <c r="M145" s="194">
        <f t="shared" si="10"/>
      </c>
      <c r="N145" s="194">
        <f t="shared" si="11"/>
      </c>
    </row>
    <row r="146" spans="1:14">
      <c r="A146" s="322" cm="1">
        <f t="array" ref="A146">INDEX('Teams Master'!$C$2:$C$14,INT((ROW()-2)/20)+1)</f>
      </c>
      <c r="B146" s="194">
        <f t="shared" si="8"/>
      </c>
      <c r="C146" s="319">
        <v>2</v>
      </c>
      <c r="D146" s="319" t="s">
        <v>1254</v>
      </c>
      <c r="E146" s="319" t="s">
        <v>1189</v>
      </c>
      <c r="F146" s="319" t="s">
        <v>1026</v>
      </c>
      <c r="G146" s="194">
        <f t="shared" si="9"/>
      </c>
      <c r="H146" s="319"/>
      <c r="I146" s="319"/>
      <c r="J146" s="319"/>
      <c r="K146" s="322" cm="1">
        <f t="array" ref="K146">IF(AND($D146="",$E146=""),"",INDEX('Teams Master'!$A$2:$A$14,INT((ROW()-2)/20)+1))</f>
      </c>
      <c r="L146" s="322" cm="1">
        <f t="array" ref="L146">IF(AND($D146="",$E146=""),"",INDEX('Teams Master'!$D$2:$D$14,INT((ROW()-2)/20)+1))</f>
      </c>
      <c r="M146" s="194">
        <f t="shared" si="10"/>
      </c>
      <c r="N146" s="194">
        <f t="shared" si="11"/>
      </c>
    </row>
    <row r="147" spans="1:14">
      <c r="A147" s="322" cm="1">
        <f t="array" ref="A147">INDEX('Teams Master'!$C$2:$C$14,INT((ROW()-2)/20)+1)</f>
      </c>
      <c r="B147" s="194">
        <f t="shared" si="8"/>
      </c>
      <c r="C147" s="319">
        <v>9</v>
      </c>
      <c r="D147" s="319" t="s">
        <v>1098</v>
      </c>
      <c r="E147" s="319" t="s">
        <v>1144</v>
      </c>
      <c r="F147" s="319" t="s">
        <v>1026</v>
      </c>
      <c r="G147" s="194">
        <f t="shared" si="9"/>
      </c>
      <c r="H147" s="319"/>
      <c r="I147" s="319"/>
      <c r="J147" s="319"/>
      <c r="K147" s="322" cm="1">
        <f t="array" ref="K147">IF(AND($D147="",$E147=""),"",INDEX('Teams Master'!$A$2:$A$14,INT((ROW()-2)/20)+1))</f>
      </c>
      <c r="L147" s="322" cm="1">
        <f t="array" ref="L147">IF(AND($D147="",$E147=""),"",INDEX('Teams Master'!$D$2:$D$14,INT((ROW()-2)/20)+1))</f>
      </c>
      <c r="M147" s="194">
        <f t="shared" si="10"/>
      </c>
      <c r="N147" s="194">
        <f t="shared" si="11"/>
      </c>
    </row>
    <row r="148" spans="1:14">
      <c r="A148" s="322" cm="1">
        <f t="array" ref="A148">INDEX('Teams Master'!$C$2:$C$14,INT((ROW()-2)/20)+1)</f>
      </c>
      <c r="B148" s="194">
        <f t="shared" si="8"/>
      </c>
      <c r="C148" s="319">
        <v>68</v>
      </c>
      <c r="D148" s="319" t="s">
        <v>1098</v>
      </c>
      <c r="E148" s="319" t="s">
        <v>1255</v>
      </c>
      <c r="F148" s="319" t="s">
        <v>1026</v>
      </c>
      <c r="G148" s="194">
        <f t="shared" si="9"/>
      </c>
      <c r="H148" s="319"/>
      <c r="I148" s="319"/>
      <c r="J148" s="319"/>
      <c r="K148" s="322" cm="1">
        <f t="array" ref="K148">IF(AND($D148="",$E148=""),"",INDEX('Teams Master'!$A$2:$A$14,INT((ROW()-2)/20)+1))</f>
      </c>
      <c r="L148" s="322" cm="1">
        <f t="array" ref="L148">IF(AND($D148="",$E148=""),"",INDEX('Teams Master'!$D$2:$D$14,INT((ROW()-2)/20)+1))</f>
      </c>
      <c r="M148" s="194">
        <f t="shared" si="10"/>
      </c>
      <c r="N148" s="194">
        <f t="shared" si="11"/>
      </c>
    </row>
    <row r="149" spans="1:14">
      <c r="A149" s="322" cm="1">
        <f t="array" ref="A149">INDEX('Teams Master'!$C$2:$C$14,INT((ROW()-2)/20)+1)</f>
      </c>
      <c r="B149" s="194">
        <f t="shared" si="8"/>
      </c>
      <c r="C149" s="319">
        <v>25</v>
      </c>
      <c r="D149" s="319" t="s">
        <v>1178</v>
      </c>
      <c r="E149" s="319" t="s">
        <v>1256</v>
      </c>
      <c r="F149" s="319" t="s">
        <v>1033</v>
      </c>
      <c r="G149" s="194">
        <f t="shared" si="9"/>
      </c>
      <c r="H149" s="319"/>
      <c r="I149" s="319"/>
      <c r="J149" s="319"/>
      <c r="K149" s="322" cm="1">
        <f t="array" ref="K149">IF(AND($D149="",$E149=""),"",INDEX('Teams Master'!$A$2:$A$14,INT((ROW()-2)/20)+1))</f>
      </c>
      <c r="L149" s="322" cm="1">
        <f t="array" ref="L149">IF(AND($D149="",$E149=""),"",INDEX('Teams Master'!$D$2:$D$14,INT((ROW()-2)/20)+1))</f>
      </c>
      <c r="M149" s="194">
        <f t="shared" si="10"/>
      </c>
      <c r="N149" s="194">
        <f t="shared" si="11"/>
      </c>
    </row>
    <row r="150" spans="1:14">
      <c r="A150" s="322" cm="1">
        <f t="array" ref="A150">INDEX('Teams Master'!$C$2:$C$14,INT((ROW()-2)/20)+1)</f>
      </c>
      <c r="B150" s="194">
        <f t="shared" si="8"/>
      </c>
      <c r="C150" s="319">
        <v>47</v>
      </c>
      <c r="D150" s="319" t="s">
        <v>1224</v>
      </c>
      <c r="E150" s="319" t="s">
        <v>1257</v>
      </c>
      <c r="F150" s="319" t="s">
        <v>1033</v>
      </c>
      <c r="G150" s="194">
        <f t="shared" si="9"/>
      </c>
      <c r="H150" s="319"/>
      <c r="I150" s="319"/>
      <c r="J150" s="319"/>
      <c r="K150" s="322" cm="1">
        <f t="array" ref="K150">IF(AND($D150="",$E150=""),"",INDEX('Teams Master'!$A$2:$A$14,INT((ROW()-2)/20)+1))</f>
      </c>
      <c r="L150" s="322" cm="1">
        <f t="array" ref="L150">IF(AND($D150="",$E150=""),"",INDEX('Teams Master'!$D$2:$D$14,INT((ROW()-2)/20)+1))</f>
      </c>
      <c r="M150" s="194">
        <f t="shared" si="10"/>
      </c>
      <c r="N150" s="194">
        <f t="shared" si="11"/>
      </c>
    </row>
    <row r="151" spans="1:14">
      <c r="A151" s="322" cm="1">
        <f t="array" ref="A151">INDEX('Teams Master'!$C$2:$C$14,INT((ROW()-2)/20)+1)</f>
      </c>
      <c r="B151" s="194">
        <f t="shared" si="8"/>
      </c>
      <c r="C151" s="319">
        <v>34</v>
      </c>
      <c r="D151" s="319" t="s">
        <v>1207</v>
      </c>
      <c r="E151" s="319" t="s">
        <v>1183</v>
      </c>
      <c r="F151" s="319" t="s">
        <v>1033</v>
      </c>
      <c r="G151" s="194">
        <f t="shared" si="9"/>
      </c>
      <c r="H151" s="319"/>
      <c r="I151" s="319"/>
      <c r="J151" s="319"/>
      <c r="K151" s="322" cm="1">
        <f t="array" ref="K151">IF(AND($D151="",$E151=""),"",INDEX('Teams Master'!$A$2:$A$14,INT((ROW()-2)/20)+1))</f>
      </c>
      <c r="L151" s="322" cm="1">
        <f t="array" ref="L151">IF(AND($D151="",$E151=""),"",INDEX('Teams Master'!$D$2:$D$14,INT((ROW()-2)/20)+1))</f>
      </c>
      <c r="M151" s="194">
        <f t="shared" si="10"/>
      </c>
      <c r="N151" s="194">
        <f t="shared" si="11"/>
      </c>
    </row>
    <row r="152" spans="1:14">
      <c r="A152" s="322" cm="1">
        <f t="array" ref="A152">INDEX('Teams Master'!$C$2:$C$14,INT((ROW()-2)/20)+1)</f>
      </c>
      <c r="B152" s="194">
        <f t="shared" si="8"/>
      </c>
      <c r="C152" s="319">
        <v>17</v>
      </c>
      <c r="D152" s="319" t="s">
        <v>1151</v>
      </c>
      <c r="E152" s="319" t="s">
        <v>1258</v>
      </c>
      <c r="F152" s="319" t="s">
        <v>1040</v>
      </c>
      <c r="G152" s="194">
        <f t="shared" si="9"/>
      </c>
      <c r="H152" s="319"/>
      <c r="I152" s="319"/>
      <c r="J152" s="319"/>
      <c r="K152" s="322" cm="1">
        <f t="array" ref="K152">IF(AND($D152="",$E152=""),"",INDEX('Teams Master'!$A$2:$A$14,INT((ROW()-2)/20)+1))</f>
      </c>
      <c r="L152" s="322" cm="1">
        <f t="array" ref="L152">IF(AND($D152="",$E152=""),"",INDEX('Teams Master'!$D$2:$D$14,INT((ROW()-2)/20)+1))</f>
      </c>
      <c r="M152" s="194">
        <f t="shared" si="10"/>
      </c>
      <c r="N152" s="194">
        <f t="shared" si="11"/>
      </c>
    </row>
    <row r="153" spans="1:14">
      <c r="A153" s="322" cm="1">
        <f t="array" ref="A153">INDEX('Teams Master'!$C$2:$C$14,INT((ROW()-2)/20)+1)</f>
      </c>
      <c r="B153" s="194">
        <f t="shared" si="8"/>
      </c>
      <c r="C153" s="319">
        <v>61</v>
      </c>
      <c r="D153" s="319" t="s">
        <v>1151</v>
      </c>
      <c r="E153" s="319" t="s">
        <v>1259</v>
      </c>
      <c r="F153" s="319" t="s">
        <v>1040</v>
      </c>
      <c r="G153" s="194">
        <f t="shared" si="9"/>
      </c>
      <c r="H153" s="319"/>
      <c r="I153" s="319"/>
      <c r="J153" s="319"/>
      <c r="K153" s="322" cm="1">
        <f t="array" ref="K153">IF(AND($D153="",$E153=""),"",INDEX('Teams Master'!$A$2:$A$14,INT((ROW()-2)/20)+1))</f>
      </c>
      <c r="L153" s="322" cm="1">
        <f t="array" ref="L153">IF(AND($D153="",$E153=""),"",INDEX('Teams Master'!$D$2:$D$14,INT((ROW()-2)/20)+1))</f>
      </c>
      <c r="M153" s="194">
        <f t="shared" si="10"/>
      </c>
      <c r="N153" s="194">
        <f t="shared" si="11"/>
      </c>
    </row>
    <row r="154" spans="1:14">
      <c r="A154" s="322" cm="1">
        <f t="array" ref="A154">INDEX('Teams Master'!$C$2:$C$14,INT((ROW()-2)/20)+1)</f>
      </c>
      <c r="B154" s="194">
        <f t="shared" si="8"/>
      </c>
      <c r="C154" s="319">
        <v>96</v>
      </c>
      <c r="D154" s="319" t="s">
        <v>1245</v>
      </c>
      <c r="E154" s="319" t="s">
        <v>1058</v>
      </c>
      <c r="F154" s="319" t="s">
        <v>1045</v>
      </c>
      <c r="G154" s="194">
        <f t="shared" si="9"/>
      </c>
      <c r="H154" s="319"/>
      <c r="I154" s="319"/>
      <c r="J154" s="319"/>
      <c r="K154" s="322" cm="1">
        <f t="array" ref="K154">IF(AND($D154="",$E154=""),"",INDEX('Teams Master'!$A$2:$A$14,INT((ROW()-2)/20)+1))</f>
      </c>
      <c r="L154" s="322" cm="1">
        <f t="array" ref="L154">IF(AND($D154="",$E154=""),"",INDEX('Teams Master'!$D$2:$D$14,INT((ROW()-2)/20)+1))</f>
      </c>
      <c r="M154" s="194">
        <f t="shared" si="10"/>
      </c>
      <c r="N154" s="194">
        <f t="shared" si="11"/>
      </c>
    </row>
    <row r="155" spans="1:14">
      <c r="A155" s="322" cm="1">
        <f t="array" ref="A155">INDEX('Teams Master'!$C$2:$C$14,INT((ROW()-2)/20)+1)</f>
      </c>
      <c r="B155" s="194">
        <f t="shared" si="8"/>
      </c>
      <c r="C155" s="319">
        <v>31</v>
      </c>
      <c r="D155" s="319" t="s">
        <v>1132</v>
      </c>
      <c r="E155" s="319" t="s">
        <v>1183</v>
      </c>
      <c r="F155" s="319" t="s">
        <v>1045</v>
      </c>
      <c r="G155" s="194">
        <f t="shared" si="9"/>
      </c>
      <c r="H155" s="319"/>
      <c r="I155" s="319"/>
      <c r="J155" s="319"/>
      <c r="K155" s="322" cm="1">
        <f t="array" ref="K155">IF(AND($D155="",$E155=""),"",INDEX('Teams Master'!$A$2:$A$14,INT((ROW()-2)/20)+1))</f>
      </c>
      <c r="L155" s="322" cm="1">
        <f t="array" ref="L155">IF(AND($D155="",$E155=""),"",INDEX('Teams Master'!$D$2:$D$14,INT((ROW()-2)/20)+1))</f>
      </c>
      <c r="M155" s="194">
        <f t="shared" si="10"/>
      </c>
      <c r="N155" s="194">
        <f t="shared" si="11"/>
      </c>
    </row>
    <row r="156" spans="1:14">
      <c r="A156" s="322" cm="1">
        <f t="array" ref="A156">INDEX('Teams Master'!$C$2:$C$14,INT((ROW()-2)/20)+1)</f>
      </c>
      <c r="B156" s="194">
        <f t="shared" si="8"/>
      </c>
      <c r="C156" s="319">
        <v>66</v>
      </c>
      <c r="D156" s="319" t="s">
        <v>1260</v>
      </c>
      <c r="E156" s="319" t="s">
        <v>1093</v>
      </c>
      <c r="F156" s="319" t="s">
        <v>1050</v>
      </c>
      <c r="G156" s="194">
        <f t="shared" si="9"/>
      </c>
      <c r="H156" s="319"/>
      <c r="I156" s="319"/>
      <c r="J156" s="319"/>
      <c r="K156" s="322" cm="1">
        <f t="array" ref="K156">IF(AND($D156="",$E156=""),"",INDEX('Teams Master'!$A$2:$A$14,INT((ROW()-2)/20)+1))</f>
      </c>
      <c r="L156" s="322" cm="1">
        <f t="array" ref="L156">IF(AND($D156="",$E156=""),"",INDEX('Teams Master'!$D$2:$D$14,INT((ROW()-2)/20)+1))</f>
      </c>
      <c r="M156" s="194">
        <f t="shared" si="10"/>
      </c>
      <c r="N156" s="194">
        <f t="shared" si="11"/>
      </c>
    </row>
    <row r="157" spans="1:14">
      <c r="A157" s="322" cm="1">
        <f t="array" ref="A157">INDEX('Teams Master'!$C$2:$C$14,INT((ROW()-2)/20)+1)</f>
      </c>
      <c r="B157" s="194">
        <f t="shared" si="8"/>
      </c>
      <c r="C157" s="319">
        <v>56</v>
      </c>
      <c r="D157" s="319" t="s">
        <v>1261</v>
      </c>
      <c r="E157" s="319" t="s">
        <v>1258</v>
      </c>
      <c r="F157" s="319" t="s">
        <v>1050</v>
      </c>
      <c r="G157" s="194">
        <f t="shared" si="9"/>
      </c>
      <c r="H157" s="319"/>
      <c r="I157" s="319"/>
      <c r="J157" s="319"/>
      <c r="K157" s="322" cm="1">
        <f t="array" ref="K157">IF(AND($D157="",$E157=""),"",INDEX('Teams Master'!$A$2:$A$14,INT((ROW()-2)/20)+1))</f>
      </c>
      <c r="L157" s="322" cm="1">
        <f t="array" ref="L157">IF(AND($D157="",$E157=""),"",INDEX('Teams Master'!$D$2:$D$14,INT((ROW()-2)/20)+1))</f>
      </c>
      <c r="M157" s="194">
        <f t="shared" si="10"/>
      </c>
      <c r="N157" s="194">
        <f t="shared" si="11"/>
      </c>
    </row>
    <row r="158" spans="1:14">
      <c r="A158" s="373" cm="1">
        <f t="array" ref="A158">INDEX('Teams Master'!$C$2:$C$14,INT((ROW()-2)/20)+1)</f>
      </c>
      <c r="B158" s="196">
        <f t="shared" si="8"/>
      </c>
      <c r="C158" s="630"/>
      <c r="D158" s="630" t="s">
        <v>1016</v>
      </c>
      <c r="E158" s="630" t="s">
        <v>1035</v>
      </c>
      <c r="F158" s="630"/>
      <c r="G158" s="196">
        <f t="shared" si="9"/>
      </c>
      <c r="H158" s="630" t="s">
        <v>1262</v>
      </c>
      <c r="I158" s="630" t="s">
        <v>1263</v>
      </c>
      <c r="J158" s="630"/>
      <c r="K158" s="373" cm="1">
        <f t="array" ref="K158">IF(AND($D158="",$E158=""),"",INDEX('Teams Master'!$A$2:$A$14,INT((ROW()-2)/20)+1))</f>
      </c>
      <c r="L158" s="373" cm="1">
        <f t="array" ref="L158">IF(AND($D158="",$E158=""),"",INDEX('Teams Master'!$D$2:$D$14,INT((ROW()-2)/20)+1))</f>
      </c>
      <c r="M158" s="196">
        <f t="shared" si="10"/>
      </c>
      <c r="N158" s="196">
        <f t="shared" si="11"/>
      </c>
    </row>
    <row r="159" spans="1:14">
      <c r="A159" s="373" cm="1">
        <f t="array" ref="A159">INDEX('Teams Master'!$C$2:$C$14,INT((ROW()-2)/20)+1)</f>
      </c>
      <c r="B159" s="196">
        <f t="shared" si="8"/>
      </c>
      <c r="C159" s="630"/>
      <c r="D159" s="630" t="s">
        <v>1085</v>
      </c>
      <c r="E159" s="630" t="s">
        <v>1246</v>
      </c>
      <c r="F159" s="630"/>
      <c r="G159" s="196">
        <f t="shared" si="9"/>
      </c>
      <c r="H159" s="630" t="s">
        <v>1264</v>
      </c>
      <c r="I159" s="630" t="s">
        <v>1265</v>
      </c>
      <c r="J159" s="630"/>
      <c r="K159" s="373" cm="1">
        <f t="array" ref="K159">IF(AND($D159="",$E159=""),"",INDEX('Teams Master'!$A$2:$A$14,INT((ROW()-2)/20)+1))</f>
      </c>
      <c r="L159" s="373" cm="1">
        <f t="array" ref="L159">IF(AND($D159="",$E159=""),"",INDEX('Teams Master'!$D$2:$D$14,INT((ROW()-2)/20)+1))</f>
      </c>
      <c r="M159" s="196">
        <f t="shared" si="10"/>
      </c>
      <c r="N159" s="196">
        <f t="shared" si="11"/>
      </c>
    </row>
    <row r="160" spans="1:14">
      <c r="A160" s="373" cm="1">
        <f t="array" ref="A160">INDEX('Teams Master'!$C$2:$C$14,INT((ROW()-2)/20)+1)</f>
      </c>
      <c r="B160" s="196">
        <f t="shared" si="8"/>
      </c>
      <c r="C160" s="630"/>
      <c r="D160" s="630" t="s">
        <v>1155</v>
      </c>
      <c r="E160" s="630" t="s">
        <v>1266</v>
      </c>
      <c r="F160" s="630"/>
      <c r="G160" s="196">
        <f t="shared" si="9"/>
      </c>
      <c r="H160" s="630" t="s">
        <v>1267</v>
      </c>
      <c r="I160" s="630" t="s">
        <v>1268</v>
      </c>
      <c r="J160" s="630"/>
      <c r="K160" s="373" cm="1">
        <f t="array" ref="K160">IF(AND($D160="",$E160=""),"",INDEX('Teams Master'!$A$2:$A$14,INT((ROW()-2)/20)+1))</f>
      </c>
      <c r="L160" s="373" cm="1">
        <f t="array" ref="L160">IF(AND($D160="",$E160=""),"",INDEX('Teams Master'!$D$2:$D$14,INT((ROW()-2)/20)+1))</f>
      </c>
      <c r="M160" s="196">
        <f t="shared" si="10"/>
      </c>
      <c r="N160" s="196">
        <f t="shared" si="11"/>
      </c>
    </row>
    <row r="161" spans="1:14" ht="15" thickBot="1">
      <c r="A161" s="373" cm="1">
        <f t="array" ref="A161">INDEX('Teams Master'!$C$2:$C$14,INT((ROW()-2)/20)+1)</f>
      </c>
      <c r="B161" s="196">
        <f t="shared" si="8"/>
      </c>
      <c r="C161" s="630"/>
      <c r="D161" s="630" t="s">
        <v>1027</v>
      </c>
      <c r="E161" s="630" t="s">
        <v>1269</v>
      </c>
      <c r="F161" s="630"/>
      <c r="G161" s="196">
        <f t="shared" si="9"/>
      </c>
      <c r="H161" s="630" t="s">
        <v>1270</v>
      </c>
      <c r="I161" s="630" t="s">
        <v>1271</v>
      </c>
      <c r="J161" s="630"/>
      <c r="K161" s="373" cm="1">
        <f t="array" ref="K161">IF(AND($D161="",$E161=""),"",INDEX('Teams Master'!$A$2:$A$14,INT((ROW()-2)/20)+1))</f>
      </c>
      <c r="L161" s="373" cm="1">
        <f t="array" ref="L161">IF(AND($D161="",$E161=""),"",INDEX('Teams Master'!$D$2:$D$14,INT((ROW()-2)/20)+1))</f>
      </c>
      <c r="M161" s="196">
        <f t="shared" si="10"/>
      </c>
      <c r="N161" s="196">
        <f t="shared" si="11"/>
      </c>
    </row>
    <row r="162" spans="1:14">
      <c r="A162" s="627" cm="1">
        <f t="array" ref="A162">INDEX('Teams Master'!$C$2:$C$14,INT((ROW()-2)/20)+1)</f>
      </c>
      <c r="B162" s="628">
        <f t="shared" si="8"/>
      </c>
      <c r="C162" s="629">
        <v>1</v>
      </c>
      <c r="D162" s="629" t="s">
        <v>1272</v>
      </c>
      <c r="E162" s="629" t="s">
        <v>1273</v>
      </c>
      <c r="F162" s="629" t="s">
        <v>1014</v>
      </c>
      <c r="G162" s="628">
        <f t="shared" si="9"/>
      </c>
      <c r="H162" s="629"/>
      <c r="I162" s="629"/>
      <c r="J162" s="629"/>
      <c r="K162" s="627" cm="1">
        <f t="array" ref="K162">IF(AND($D162="",$E162=""),"",INDEX('Teams Master'!$A$2:$A$14,INT((ROW()-2)/20)+1))</f>
      </c>
      <c r="L162" s="627" cm="1">
        <f t="array" ref="L162">IF(AND($D162="",$E162=""),"",INDEX('Teams Master'!$D$2:$D$14,INT((ROW()-2)/20)+1))</f>
      </c>
      <c r="M162" s="628">
        <f t="shared" si="10"/>
      </c>
      <c r="N162" s="628">
        <f t="shared" si="11"/>
      </c>
    </row>
    <row r="163" spans="1:14">
      <c r="A163" s="322" cm="1">
        <f t="array" ref="A163">INDEX('Teams Master'!$C$2:$C$14,INT((ROW()-2)/20)+1)</f>
      </c>
      <c r="B163" s="194">
        <f t="shared" si="8"/>
      </c>
      <c r="C163" s="319">
        <v>12</v>
      </c>
      <c r="D163" s="319" t="s">
        <v>1274</v>
      </c>
      <c r="E163" s="319" t="s">
        <v>1047</v>
      </c>
      <c r="F163" s="319" t="s">
        <v>1014</v>
      </c>
      <c r="G163" s="194">
        <f t="shared" si="9"/>
      </c>
      <c r="H163" s="319"/>
      <c r="I163" s="319"/>
      <c r="J163" s="319"/>
      <c r="K163" s="322" cm="1">
        <f t="array" ref="K163">IF(AND($D163="",$E163=""),"",INDEX('Teams Master'!$A$2:$A$14,INT((ROW()-2)/20)+1))</f>
      </c>
      <c r="L163" s="322" cm="1">
        <f t="array" ref="L163">IF(AND($D163="",$E163=""),"",INDEX('Teams Master'!$D$2:$D$14,INT((ROW()-2)/20)+1))</f>
      </c>
      <c r="M163" s="194">
        <f t="shared" si="10"/>
      </c>
      <c r="N163" s="194">
        <f t="shared" si="11"/>
      </c>
    </row>
    <row r="164" spans="1:14">
      <c r="A164" s="322" cm="1">
        <f t="array" ref="A164">INDEX('Teams Master'!$C$2:$C$14,INT((ROW()-2)/20)+1)</f>
      </c>
      <c r="B164" s="194">
        <f t="shared" si="8"/>
      </c>
      <c r="C164" s="319">
        <v>9</v>
      </c>
      <c r="D164" s="319" t="s">
        <v>1191</v>
      </c>
      <c r="E164" s="319" t="s">
        <v>1275</v>
      </c>
      <c r="F164" s="319" t="s">
        <v>1021</v>
      </c>
      <c r="G164" s="194">
        <f t="shared" si="9"/>
      </c>
      <c r="H164" s="319"/>
      <c r="I164" s="319"/>
      <c r="J164" s="319"/>
      <c r="K164" s="322" cm="1">
        <f t="array" ref="K164">IF(AND($D164="",$E164=""),"",INDEX('Teams Master'!$A$2:$A$14,INT((ROW()-2)/20)+1))</f>
      </c>
      <c r="L164" s="322" cm="1">
        <f t="array" ref="L164">IF(AND($D164="",$E164=""),"",INDEX('Teams Master'!$D$2:$D$14,INT((ROW()-2)/20)+1))</f>
      </c>
      <c r="M164" s="194">
        <f t="shared" si="10"/>
      </c>
      <c r="N164" s="194">
        <f t="shared" si="11"/>
      </c>
    </row>
    <row r="165" spans="1:14">
      <c r="A165" s="322" cm="1">
        <f t="array" ref="A165">INDEX('Teams Master'!$C$2:$C$14,INT((ROW()-2)/20)+1)</f>
      </c>
      <c r="B165" s="194">
        <f t="shared" si="8"/>
      </c>
      <c r="C165" s="319">
        <v>76</v>
      </c>
      <c r="D165" s="319" t="s">
        <v>1276</v>
      </c>
      <c r="E165" s="319" t="s">
        <v>1139</v>
      </c>
      <c r="F165" s="319" t="s">
        <v>1021</v>
      </c>
      <c r="G165" s="194">
        <f t="shared" si="9"/>
      </c>
      <c r="H165" s="319"/>
      <c r="I165" s="319"/>
      <c r="J165" s="319"/>
      <c r="K165" s="322" cm="1">
        <f t="array" ref="K165">IF(AND($D165="",$E165=""),"",INDEX('Teams Master'!$A$2:$A$14,INT((ROW()-2)/20)+1))</f>
      </c>
      <c r="L165" s="322" cm="1">
        <f t="array" ref="L165">IF(AND($D165="",$E165=""),"",INDEX('Teams Master'!$D$2:$D$14,INT((ROW()-2)/20)+1))</f>
      </c>
      <c r="M165" s="194">
        <f t="shared" si="10"/>
      </c>
      <c r="N165" s="194">
        <f t="shared" si="11"/>
      </c>
    </row>
    <row r="166" spans="1:14">
      <c r="A166" s="322" cm="1">
        <f t="array" ref="A166">INDEX('Teams Master'!$C$2:$C$14,INT((ROW()-2)/20)+1)</f>
      </c>
      <c r="B166" s="194">
        <f t="shared" si="8"/>
      </c>
      <c r="C166" s="319">
        <v>29</v>
      </c>
      <c r="D166" s="319" t="s">
        <v>1277</v>
      </c>
      <c r="E166" s="319" t="s">
        <v>1278</v>
      </c>
      <c r="F166" s="319" t="s">
        <v>1026</v>
      </c>
      <c r="G166" s="194">
        <f t="shared" si="9"/>
      </c>
      <c r="H166" s="319"/>
      <c r="I166" s="319"/>
      <c r="J166" s="319"/>
      <c r="K166" s="322" cm="1">
        <f t="array" ref="K166">IF(AND($D166="",$E166=""),"",INDEX('Teams Master'!$A$2:$A$14,INT((ROW()-2)/20)+1))</f>
      </c>
      <c r="L166" s="322" cm="1">
        <f t="array" ref="L166">IF(AND($D166="",$E166=""),"",INDEX('Teams Master'!$D$2:$D$14,INT((ROW()-2)/20)+1))</f>
      </c>
      <c r="M166" s="194">
        <f t="shared" si="10"/>
      </c>
      <c r="N166" s="194">
        <f t="shared" si="11"/>
      </c>
    </row>
    <row r="167" spans="1:14">
      <c r="A167" s="322" cm="1">
        <f t="array" ref="A167">INDEX('Teams Master'!$C$2:$C$14,INT((ROW()-2)/20)+1)</f>
      </c>
      <c r="B167" s="194">
        <f t="shared" si="8"/>
      </c>
      <c r="C167" s="319">
        <v>86</v>
      </c>
      <c r="D167" s="319" t="s">
        <v>1279</v>
      </c>
      <c r="E167" s="319" t="s">
        <v>1065</v>
      </c>
      <c r="F167" s="319" t="s">
        <v>1026</v>
      </c>
      <c r="G167" s="194">
        <f t="shared" si="9"/>
      </c>
      <c r="H167" s="319"/>
      <c r="I167" s="319"/>
      <c r="J167" s="319"/>
      <c r="K167" s="322" cm="1">
        <f t="array" ref="K167">IF(AND($D167="",$E167=""),"",INDEX('Teams Master'!$A$2:$A$14,INT((ROW()-2)/20)+1))</f>
      </c>
      <c r="L167" s="322" cm="1">
        <f t="array" ref="L167">IF(AND($D167="",$E167=""),"",INDEX('Teams Master'!$D$2:$D$14,INT((ROW()-2)/20)+1))</f>
      </c>
      <c r="M167" s="194">
        <f t="shared" si="10"/>
      </c>
      <c r="N167" s="194">
        <f t="shared" si="11"/>
      </c>
    </row>
    <row r="168" spans="1:14">
      <c r="A168" s="322" cm="1">
        <f t="array" ref="A168">INDEX('Teams Master'!$C$2:$C$14,INT((ROW()-2)/20)+1)</f>
      </c>
      <c r="B168" s="194">
        <f t="shared" si="8"/>
      </c>
      <c r="C168" s="319">
        <v>61</v>
      </c>
      <c r="D168" s="319" t="s">
        <v>1280</v>
      </c>
      <c r="E168" s="319" t="s">
        <v>1179</v>
      </c>
      <c r="F168" s="319" t="s">
        <v>1026</v>
      </c>
      <c r="G168" s="194">
        <f t="shared" si="9"/>
      </c>
      <c r="H168" s="319"/>
      <c r="I168" s="319"/>
      <c r="J168" s="319"/>
      <c r="K168" s="322" cm="1">
        <f t="array" ref="K168">IF(AND($D168="",$E168=""),"",INDEX('Teams Master'!$A$2:$A$14,INT((ROW()-2)/20)+1))</f>
      </c>
      <c r="L168" s="322" cm="1">
        <f t="array" ref="L168">IF(AND($D168="",$E168=""),"",INDEX('Teams Master'!$D$2:$D$14,INT((ROW()-2)/20)+1))</f>
      </c>
      <c r="M168" s="194">
        <f t="shared" si="10"/>
      </c>
      <c r="N168" s="194">
        <f t="shared" si="11"/>
      </c>
    </row>
    <row r="169" spans="1:14">
      <c r="A169" s="322" cm="1">
        <f t="array" ref="A169">INDEX('Teams Master'!$C$2:$C$14,INT((ROW()-2)/20)+1)</f>
      </c>
      <c r="B169" s="194">
        <f t="shared" si="8"/>
      </c>
      <c r="C169" s="319">
        <v>81</v>
      </c>
      <c r="D169" s="319" t="s">
        <v>1277</v>
      </c>
      <c r="E169" s="319" t="s">
        <v>1281</v>
      </c>
      <c r="F169" s="319" t="s">
        <v>1033</v>
      </c>
      <c r="G169" s="194">
        <f t="shared" si="9"/>
      </c>
      <c r="H169" s="319"/>
      <c r="I169" s="319"/>
      <c r="J169" s="319"/>
      <c r="K169" s="322" cm="1">
        <f t="array" ref="K169">IF(AND($D169="",$E169=""),"",INDEX('Teams Master'!$A$2:$A$14,INT((ROW()-2)/20)+1))</f>
      </c>
      <c r="L169" s="322" cm="1">
        <f t="array" ref="L169">IF(AND($D169="",$E169=""),"",INDEX('Teams Master'!$D$2:$D$14,INT((ROW()-2)/20)+1))</f>
      </c>
      <c r="M169" s="194">
        <f t="shared" si="10"/>
      </c>
      <c r="N169" s="194">
        <f t="shared" si="11"/>
      </c>
    </row>
    <row r="170" spans="1:14">
      <c r="A170" s="322" cm="1">
        <f t="array" ref="A170">INDEX('Teams Master'!$C$2:$C$14,INT((ROW()-2)/20)+1)</f>
      </c>
      <c r="B170" s="194">
        <f t="shared" si="8"/>
      </c>
      <c r="C170" s="319">
        <v>11</v>
      </c>
      <c r="D170" s="319" t="s">
        <v>1061</v>
      </c>
      <c r="E170" s="319" t="s">
        <v>1080</v>
      </c>
      <c r="F170" s="319" t="s">
        <v>1033</v>
      </c>
      <c r="G170" s="194">
        <f t="shared" si="9"/>
      </c>
      <c r="H170" s="319"/>
      <c r="I170" s="319"/>
      <c r="J170" s="319"/>
      <c r="K170" s="322" cm="1">
        <f t="array" ref="K170">IF(AND($D170="",$E170=""),"",INDEX('Teams Master'!$A$2:$A$14,INT((ROW()-2)/20)+1))</f>
      </c>
      <c r="L170" s="322" cm="1">
        <f t="array" ref="L170">IF(AND($D170="",$E170=""),"",INDEX('Teams Master'!$D$2:$D$14,INT((ROW()-2)/20)+1))</f>
      </c>
      <c r="M170" s="194">
        <f t="shared" si="10"/>
      </c>
      <c r="N170" s="194">
        <f t="shared" si="11"/>
      </c>
    </row>
    <row r="171" spans="1:14">
      <c r="A171" s="322" cm="1">
        <f t="array" ref="A171">INDEX('Teams Master'!$C$2:$C$14,INT((ROW()-2)/20)+1)</f>
      </c>
      <c r="B171" s="194">
        <f t="shared" si="8"/>
      </c>
      <c r="C171" s="319">
        <v>7</v>
      </c>
      <c r="D171" s="319" t="s">
        <v>1282</v>
      </c>
      <c r="E171" s="319" t="s">
        <v>1035</v>
      </c>
      <c r="F171" s="319" t="s">
        <v>1033</v>
      </c>
      <c r="G171" s="194">
        <f t="shared" si="9"/>
      </c>
      <c r="H171" s="319"/>
      <c r="I171" s="319"/>
      <c r="J171" s="319"/>
      <c r="K171" s="322" cm="1">
        <f t="array" ref="K171">IF(AND($D171="",$E171=""),"",INDEX('Teams Master'!$A$2:$A$14,INT((ROW()-2)/20)+1))</f>
      </c>
      <c r="L171" s="322" cm="1">
        <f t="array" ref="L171">IF(AND($D171="",$E171=""),"",INDEX('Teams Master'!$D$2:$D$14,INT((ROW()-2)/20)+1))</f>
      </c>
      <c r="M171" s="194">
        <f t="shared" si="10"/>
      </c>
      <c r="N171" s="194">
        <f t="shared" si="11"/>
      </c>
    </row>
    <row r="172" spans="1:14">
      <c r="A172" s="322" cm="1">
        <f t="array" ref="A172">INDEX('Teams Master'!$C$2:$C$14,INT((ROW()-2)/20)+1)</f>
      </c>
      <c r="B172" s="194">
        <f t="shared" si="8"/>
      </c>
      <c r="C172" s="319">
        <v>39</v>
      </c>
      <c r="D172" s="319" t="s">
        <v>1283</v>
      </c>
      <c r="E172" s="319" t="s">
        <v>1115</v>
      </c>
      <c r="F172" s="319" t="s">
        <v>1040</v>
      </c>
      <c r="G172" s="194">
        <f t="shared" si="9"/>
      </c>
      <c r="H172" s="319"/>
      <c r="I172" s="319"/>
      <c r="J172" s="319"/>
      <c r="K172" s="322" cm="1">
        <f t="array" ref="K172">IF(AND($D172="",$E172=""),"",INDEX('Teams Master'!$A$2:$A$14,INT((ROW()-2)/20)+1))</f>
      </c>
      <c r="L172" s="322" cm="1">
        <f t="array" ref="L172">IF(AND($D172="",$E172=""),"",INDEX('Teams Master'!$D$2:$D$14,INT((ROW()-2)/20)+1))</f>
      </c>
      <c r="M172" s="194">
        <f t="shared" si="10"/>
      </c>
      <c r="N172" s="194">
        <f t="shared" si="11"/>
      </c>
    </row>
    <row r="173" spans="1:14">
      <c r="A173" s="322" cm="1">
        <f t="array" ref="A173">INDEX('Teams Master'!$C$2:$C$14,INT((ROW()-2)/20)+1)</f>
      </c>
      <c r="B173" s="194">
        <f t="shared" si="8"/>
      </c>
      <c r="C173" s="319">
        <v>44</v>
      </c>
      <c r="D173" s="319" t="s">
        <v>1284</v>
      </c>
      <c r="E173" s="319" t="s">
        <v>1153</v>
      </c>
      <c r="F173" s="319" t="s">
        <v>1040</v>
      </c>
      <c r="G173" s="194">
        <f t="shared" si="9"/>
      </c>
      <c r="H173" s="319"/>
      <c r="I173" s="319"/>
      <c r="J173" s="319"/>
      <c r="K173" s="322" cm="1">
        <f t="array" ref="K173">IF(AND($D173="",$E173=""),"",INDEX('Teams Master'!$A$2:$A$14,INT((ROW()-2)/20)+1))</f>
      </c>
      <c r="L173" s="322" cm="1">
        <f t="array" ref="L173">IF(AND($D173="",$E173=""),"",INDEX('Teams Master'!$D$2:$D$14,INT((ROW()-2)/20)+1))</f>
      </c>
      <c r="M173" s="194">
        <f t="shared" si="10"/>
      </c>
      <c r="N173" s="194">
        <f t="shared" si="11"/>
      </c>
    </row>
    <row r="174" spans="1:14">
      <c r="A174" s="322" cm="1">
        <f t="array" ref="A174">INDEX('Teams Master'!$C$2:$C$14,INT((ROW()-2)/20)+1)</f>
      </c>
      <c r="B174" s="194">
        <f t="shared" si="8"/>
      </c>
      <c r="C174" s="319">
        <v>32</v>
      </c>
      <c r="D174" s="319" t="s">
        <v>1285</v>
      </c>
      <c r="E174" s="319" t="s">
        <v>1076</v>
      </c>
      <c r="F174" s="319" t="s">
        <v>1045</v>
      </c>
      <c r="G174" s="194">
        <f t="shared" si="9"/>
      </c>
      <c r="H174" s="319"/>
      <c r="I174" s="319"/>
      <c r="J174" s="319"/>
      <c r="K174" s="322" cm="1">
        <f t="array" ref="K174">IF(AND($D174="",$E174=""),"",INDEX('Teams Master'!$A$2:$A$14,INT((ROW()-2)/20)+1))</f>
      </c>
      <c r="L174" s="322" cm="1">
        <f t="array" ref="L174">IF(AND($D174="",$E174=""),"",INDEX('Teams Master'!$D$2:$D$14,INT((ROW()-2)/20)+1))</f>
      </c>
      <c r="M174" s="194">
        <f t="shared" si="10"/>
      </c>
      <c r="N174" s="194">
        <f t="shared" si="11"/>
      </c>
    </row>
    <row r="175" spans="1:14">
      <c r="A175" s="322" cm="1">
        <f t="array" ref="A175">INDEX('Teams Master'!$C$2:$C$14,INT((ROW()-2)/20)+1)</f>
      </c>
      <c r="B175" s="194">
        <f t="shared" si="8"/>
      </c>
      <c r="C175" s="319">
        <v>94</v>
      </c>
      <c r="D175" s="319" t="s">
        <v>1286</v>
      </c>
      <c r="E175" s="319" t="s">
        <v>1030</v>
      </c>
      <c r="F175" s="319" t="s">
        <v>1045</v>
      </c>
      <c r="G175" s="194">
        <f t="shared" si="9"/>
      </c>
      <c r="H175" s="319"/>
      <c r="I175" s="319"/>
      <c r="J175" s="319"/>
      <c r="K175" s="322" cm="1">
        <f t="array" ref="K175">IF(AND($D175="",$E175=""),"",INDEX('Teams Master'!$A$2:$A$14,INT((ROW()-2)/20)+1))</f>
      </c>
      <c r="L175" s="322" cm="1">
        <f t="array" ref="L175">IF(AND($D175="",$E175=""),"",INDEX('Teams Master'!$D$2:$D$14,INT((ROW()-2)/20)+1))</f>
      </c>
      <c r="M175" s="194">
        <f t="shared" si="10"/>
      </c>
      <c r="N175" s="194">
        <f t="shared" si="11"/>
      </c>
    </row>
    <row r="176" spans="1:14">
      <c r="A176" s="322" cm="1">
        <f t="array" ref="A176">INDEX('Teams Master'!$C$2:$C$14,INT((ROW()-2)/20)+1)</f>
      </c>
      <c r="B176" s="194">
        <f t="shared" si="8"/>
      </c>
      <c r="C176" s="319">
        <v>6</v>
      </c>
      <c r="D176" s="319" t="s">
        <v>1287</v>
      </c>
      <c r="E176" s="319" t="s">
        <v>1288</v>
      </c>
      <c r="F176" s="319" t="s">
        <v>1050</v>
      </c>
      <c r="G176" s="194">
        <f t="shared" si="9"/>
      </c>
      <c r="H176" s="319"/>
      <c r="I176" s="319"/>
      <c r="J176" s="319"/>
      <c r="K176" s="322" cm="1">
        <f t="array" ref="K176">IF(AND($D176="",$E176=""),"",INDEX('Teams Master'!$A$2:$A$14,INT((ROW()-2)/20)+1))</f>
      </c>
      <c r="L176" s="322" cm="1">
        <f t="array" ref="L176">IF(AND($D176="",$E176=""),"",INDEX('Teams Master'!$D$2:$D$14,INT((ROW()-2)/20)+1))</f>
      </c>
      <c r="M176" s="194">
        <f t="shared" si="10"/>
      </c>
      <c r="N176" s="194">
        <f t="shared" si="11"/>
      </c>
    </row>
    <row r="177" spans="1:14">
      <c r="A177" s="322" cm="1">
        <f t="array" ref="A177">INDEX('Teams Master'!$C$2:$C$14,INT((ROW()-2)/20)+1)</f>
      </c>
      <c r="B177" s="194">
        <f t="shared" si="8"/>
      </c>
      <c r="C177" s="319">
        <v>51</v>
      </c>
      <c r="D177" s="319" t="s">
        <v>1289</v>
      </c>
      <c r="E177" s="319" t="s">
        <v>1290</v>
      </c>
      <c r="F177" s="319" t="s">
        <v>1050</v>
      </c>
      <c r="G177" s="194">
        <f t="shared" si="9"/>
      </c>
      <c r="H177" s="319"/>
      <c r="I177" s="319"/>
      <c r="J177" s="319"/>
      <c r="K177" s="322" cm="1">
        <f t="array" ref="K177">IF(AND($D177="",$E177=""),"",INDEX('Teams Master'!$A$2:$A$14,INT((ROW()-2)/20)+1))</f>
      </c>
      <c r="L177" s="322" cm="1">
        <f t="array" ref="L177">IF(AND($D177="",$E177=""),"",INDEX('Teams Master'!$D$2:$D$14,INT((ROW()-2)/20)+1))</f>
      </c>
      <c r="M177" s="194">
        <f t="shared" si="10"/>
      </c>
      <c r="N177" s="194">
        <f t="shared" si="11"/>
      </c>
    </row>
    <row r="178" spans="1:14">
      <c r="A178" s="373" cm="1">
        <f t="array" ref="A178">INDEX('Teams Master'!$C$2:$C$14,INT((ROW()-2)/20)+1)</f>
      </c>
      <c r="B178" s="196">
        <f t="shared" si="8"/>
      </c>
      <c r="C178" s="630"/>
      <c r="D178" s="630" t="s">
        <v>1291</v>
      </c>
      <c r="E178" s="630" t="s">
        <v>1273</v>
      </c>
      <c r="F178" s="630"/>
      <c r="G178" s="196">
        <f t="shared" si="9"/>
      </c>
      <c r="H178" s="630" t="s">
        <v>1292</v>
      </c>
      <c r="I178" s="630" t="s">
        <v>1293</v>
      </c>
      <c r="J178" s="630"/>
      <c r="K178" s="373" cm="1">
        <f t="array" ref="K178">IF(AND($D178="",$E178=""),"",INDEX('Teams Master'!$A$2:$A$14,INT((ROW()-2)/20)+1))</f>
      </c>
      <c r="L178" s="373" cm="1">
        <f t="array" ref="L178">IF(AND($D178="",$E178=""),"",INDEX('Teams Master'!$D$2:$D$14,INT((ROW()-2)/20)+1))</f>
      </c>
      <c r="M178" s="196">
        <f t="shared" si="10"/>
      </c>
      <c r="N178" s="196">
        <f t="shared" si="11"/>
      </c>
    </row>
    <row r="179" spans="1:14">
      <c r="A179" s="373" cm="1">
        <f t="array" ref="A179">INDEX('Teams Master'!$C$2:$C$14,INT((ROW()-2)/20)+1)</f>
      </c>
      <c r="B179" s="196">
        <f t="shared" si="8"/>
      </c>
      <c r="C179" s="630"/>
      <c r="D179" s="630" t="s">
        <v>1274</v>
      </c>
      <c r="E179" s="630" t="s">
        <v>1143</v>
      </c>
      <c r="F179" s="630"/>
      <c r="G179" s="196">
        <f t="shared" si="9"/>
      </c>
      <c r="H179" s="630" t="s">
        <v>1294</v>
      </c>
      <c r="I179" s="630" t="s">
        <v>1295</v>
      </c>
      <c r="J179" s="630"/>
      <c r="K179" s="373" cm="1">
        <f t="array" ref="K179">IF(AND($D179="",$E179=""),"",INDEX('Teams Master'!$A$2:$A$14,INT((ROW()-2)/20)+1))</f>
      </c>
      <c r="L179" s="373" cm="1">
        <f t="array" ref="L179">IF(AND($D179="",$E179=""),"",INDEX('Teams Master'!$D$2:$D$14,INT((ROW()-2)/20)+1))</f>
      </c>
      <c r="M179" s="196">
        <f t="shared" si="10"/>
      </c>
      <c r="N179" s="196">
        <f t="shared" si="11"/>
      </c>
    </row>
    <row r="180" spans="1:14">
      <c r="A180" s="373" cm="1">
        <f t="array" ref="A180">INDEX('Teams Master'!$C$2:$C$14,INT((ROW()-2)/20)+1)</f>
      </c>
      <c r="B180" s="196">
        <f t="shared" si="8"/>
      </c>
      <c r="C180" s="630"/>
      <c r="D180" s="630" t="s">
        <v>1296</v>
      </c>
      <c r="E180" s="630" t="s">
        <v>1297</v>
      </c>
      <c r="F180" s="630"/>
      <c r="G180" s="196">
        <f t="shared" si="9"/>
      </c>
      <c r="H180" s="630" t="s">
        <v>1298</v>
      </c>
      <c r="I180" s="630" t="s">
        <v>1299</v>
      </c>
      <c r="J180" s="630"/>
      <c r="K180" s="373" cm="1">
        <f t="array" ref="K180">IF(AND($D180="",$E180=""),"",INDEX('Teams Master'!$A$2:$A$14,INT((ROW()-2)/20)+1))</f>
      </c>
      <c r="L180" s="373" cm="1">
        <f t="array" ref="L180">IF(AND($D180="",$E180=""),"",INDEX('Teams Master'!$D$2:$D$14,INT((ROW()-2)/20)+1))</f>
      </c>
      <c r="M180" s="196">
        <f t="shared" si="10"/>
      </c>
      <c r="N180" s="196">
        <f t="shared" si="11"/>
      </c>
    </row>
    <row r="181" spans="1:14" ht="15" thickBot="1">
      <c r="A181" s="373" cm="1">
        <f t="array" ref="A181">INDEX('Teams Master'!$C$2:$C$14,INT((ROW()-2)/20)+1)</f>
      </c>
      <c r="B181" s="196">
        <f t="shared" si="8"/>
      </c>
      <c r="C181" s="630"/>
      <c r="D181" s="630" t="s">
        <v>1064</v>
      </c>
      <c r="E181" s="630" t="s">
        <v>1087</v>
      </c>
      <c r="F181" s="630"/>
      <c r="G181" s="196">
        <f t="shared" si="9"/>
      </c>
      <c r="H181" s="630" t="s">
        <v>1300</v>
      </c>
      <c r="I181" s="630" t="s">
        <v>1301</v>
      </c>
      <c r="J181" s="630"/>
      <c r="K181" s="373" cm="1">
        <f t="array" ref="K181">IF(AND($D181="",$E181=""),"",INDEX('Teams Master'!$A$2:$A$14,INT((ROW()-2)/20)+1))</f>
      </c>
      <c r="L181" s="373" cm="1">
        <f t="array" ref="L181">IF(AND($D181="",$E181=""),"",INDEX('Teams Master'!$D$2:$D$14,INT((ROW()-2)/20)+1))</f>
      </c>
      <c r="M181" s="196">
        <f t="shared" si="10"/>
      </c>
      <c r="N181" s="196">
        <f t="shared" si="11"/>
      </c>
    </row>
    <row r="182" spans="1:14">
      <c r="A182" s="627" cm="1">
        <f t="array" ref="A182">INDEX('Teams Master'!$C$2:$C$14,INT((ROW()-2)/20)+1)</f>
      </c>
      <c r="B182" s="628">
        <f t="shared" si="8"/>
      </c>
      <c r="C182" s="629">
        <v>1</v>
      </c>
      <c r="D182" s="629" t="s">
        <v>1302</v>
      </c>
      <c r="E182" s="629" t="s">
        <v>1303</v>
      </c>
      <c r="F182" s="629" t="s">
        <v>1014</v>
      </c>
      <c r="G182" s="628">
        <f t="shared" si="9"/>
      </c>
      <c r="H182" s="629"/>
      <c r="I182" s="629"/>
      <c r="J182" s="629"/>
      <c r="K182" s="627" cm="1">
        <f t="array" ref="K182">IF(AND($D182="",$E182=""),"",INDEX('Teams Master'!$A$2:$A$14,INT((ROW()-2)/20)+1))</f>
      </c>
      <c r="L182" s="627" cm="1">
        <f t="array" ref="L182">IF(AND($D182="",$E182=""),"",INDEX('Teams Master'!$D$2:$D$14,INT((ROW()-2)/20)+1))</f>
      </c>
      <c r="M182" s="628">
        <f t="shared" si="10"/>
      </c>
      <c r="N182" s="628">
        <f t="shared" si="11"/>
      </c>
    </row>
    <row r="183" spans="1:14">
      <c r="A183" s="322" cm="1">
        <f t="array" ref="A183">INDEX('Teams Master'!$C$2:$C$14,INT((ROW()-2)/20)+1)</f>
      </c>
      <c r="B183" s="194">
        <f t="shared" si="8"/>
      </c>
      <c r="C183" s="319">
        <v>12</v>
      </c>
      <c r="D183" s="319" t="s">
        <v>1304</v>
      </c>
      <c r="E183" s="319" t="s">
        <v>1305</v>
      </c>
      <c r="F183" s="319" t="s">
        <v>1014</v>
      </c>
      <c r="G183" s="194">
        <f t="shared" si="9"/>
      </c>
      <c r="H183" s="319"/>
      <c r="I183" s="319"/>
      <c r="J183" s="319"/>
      <c r="K183" s="322" cm="1">
        <f t="array" ref="K183">IF(AND($D183="",$E183=""),"",INDEX('Teams Master'!$A$2:$A$14,INT((ROW()-2)/20)+1))</f>
      </c>
      <c r="L183" s="322" cm="1">
        <f t="array" ref="L183">IF(AND($D183="",$E183=""),"",INDEX('Teams Master'!$D$2:$D$14,INT((ROW()-2)/20)+1))</f>
      </c>
      <c r="M183" s="194">
        <f t="shared" si="10"/>
      </c>
      <c r="N183" s="194">
        <f t="shared" si="11"/>
      </c>
    </row>
    <row r="184" spans="1:14">
      <c r="A184" s="322" cm="1">
        <f t="array" ref="A184">INDEX('Teams Master'!$C$2:$C$14,INT((ROW()-2)/20)+1)</f>
      </c>
      <c r="B184" s="194">
        <f t="shared" si="8"/>
      </c>
      <c r="C184" s="319">
        <v>37</v>
      </c>
      <c r="D184" s="319" t="s">
        <v>1239</v>
      </c>
      <c r="E184" s="319" t="s">
        <v>1089</v>
      </c>
      <c r="F184" s="319" t="s">
        <v>1021</v>
      </c>
      <c r="G184" s="194">
        <f t="shared" si="9"/>
      </c>
      <c r="H184" s="319"/>
      <c r="I184" s="319"/>
      <c r="J184" s="319"/>
      <c r="K184" s="322" cm="1">
        <f t="array" ref="K184">IF(AND($D184="",$E184=""),"",INDEX('Teams Master'!$A$2:$A$14,INT((ROW()-2)/20)+1))</f>
      </c>
      <c r="L184" s="322" cm="1">
        <f t="array" ref="L184">IF(AND($D184="",$E184=""),"",INDEX('Teams Master'!$D$2:$D$14,INT((ROW()-2)/20)+1))</f>
      </c>
      <c r="M184" s="194">
        <f t="shared" si="10"/>
      </c>
      <c r="N184" s="194">
        <f t="shared" si="11"/>
      </c>
    </row>
    <row r="185" spans="1:14">
      <c r="A185" s="322" cm="1">
        <f t="array" ref="A185">INDEX('Teams Master'!$C$2:$C$14,INT((ROW()-2)/20)+1)</f>
      </c>
      <c r="B185" s="194">
        <f t="shared" si="8"/>
      </c>
      <c r="C185" s="319">
        <v>96</v>
      </c>
      <c r="D185" s="319" t="s">
        <v>1191</v>
      </c>
      <c r="E185" s="319" t="s">
        <v>1156</v>
      </c>
      <c r="F185" s="319" t="s">
        <v>1021</v>
      </c>
      <c r="G185" s="194">
        <f t="shared" si="9"/>
      </c>
      <c r="H185" s="319"/>
      <c r="I185" s="319"/>
      <c r="J185" s="319"/>
      <c r="K185" s="322" cm="1">
        <f t="array" ref="K185">IF(AND($D185="",$E185=""),"",INDEX('Teams Master'!$A$2:$A$14,INT((ROW()-2)/20)+1))</f>
      </c>
      <c r="L185" s="322" cm="1">
        <f t="array" ref="L185">IF(AND($D185="",$E185=""),"",INDEX('Teams Master'!$D$2:$D$14,INT((ROW()-2)/20)+1))</f>
      </c>
      <c r="M185" s="194">
        <f t="shared" si="10"/>
      </c>
      <c r="N185" s="194">
        <f t="shared" si="11"/>
      </c>
    </row>
    <row r="186" spans="1:14">
      <c r="A186" s="322" cm="1">
        <f t="array" ref="A186">INDEX('Teams Master'!$C$2:$C$14,INT((ROW()-2)/20)+1)</f>
      </c>
      <c r="B186" s="194">
        <f t="shared" si="8"/>
      </c>
      <c r="C186" s="319">
        <v>45</v>
      </c>
      <c r="D186" s="319" t="s">
        <v>1277</v>
      </c>
      <c r="E186" s="319" t="s">
        <v>1306</v>
      </c>
      <c r="F186" s="319" t="s">
        <v>1026</v>
      </c>
      <c r="G186" s="194">
        <f t="shared" si="9"/>
      </c>
      <c r="H186" s="319"/>
      <c r="I186" s="319"/>
      <c r="J186" s="319"/>
      <c r="K186" s="322" cm="1">
        <f t="array" ref="K186">IF(AND($D186="",$E186=""),"",INDEX('Teams Master'!$A$2:$A$14,INT((ROW()-2)/20)+1))</f>
      </c>
      <c r="L186" s="322" cm="1">
        <f t="array" ref="L186">IF(AND($D186="",$E186=""),"",INDEX('Teams Master'!$D$2:$D$14,INT((ROW()-2)/20)+1))</f>
      </c>
      <c r="M186" s="194">
        <f t="shared" si="10"/>
      </c>
      <c r="N186" s="194">
        <f t="shared" si="11"/>
      </c>
    </row>
    <row r="187" spans="1:14">
      <c r="A187" s="322" cm="1">
        <f t="array" ref="A187">INDEX('Teams Master'!$C$2:$C$14,INT((ROW()-2)/20)+1)</f>
      </c>
      <c r="B187" s="194">
        <f t="shared" si="8"/>
      </c>
      <c r="C187" s="319">
        <v>84</v>
      </c>
      <c r="D187" s="319" t="s">
        <v>1200</v>
      </c>
      <c r="E187" s="319" t="s">
        <v>1058</v>
      </c>
      <c r="F187" s="319" t="s">
        <v>1026</v>
      </c>
      <c r="G187" s="194">
        <f t="shared" si="9"/>
      </c>
      <c r="H187" s="319"/>
      <c r="I187" s="319"/>
      <c r="J187" s="319"/>
      <c r="K187" s="322" cm="1">
        <f t="array" ref="K187">IF(AND($D187="",$E187=""),"",INDEX('Teams Master'!$A$2:$A$14,INT((ROW()-2)/20)+1))</f>
      </c>
      <c r="L187" s="322" cm="1">
        <f t="array" ref="L187">IF(AND($D187="",$E187=""),"",INDEX('Teams Master'!$D$2:$D$14,INT((ROW()-2)/20)+1))</f>
      </c>
      <c r="M187" s="194">
        <f t="shared" si="10"/>
      </c>
      <c r="N187" s="194">
        <f t="shared" si="11"/>
      </c>
    </row>
    <row r="188" spans="1:14">
      <c r="A188" s="322" cm="1">
        <f t="array" ref="A188">INDEX('Teams Master'!$C$2:$C$14,INT((ROW()-2)/20)+1)</f>
      </c>
      <c r="B188" s="194">
        <f t="shared" si="8"/>
      </c>
      <c r="C188" s="319">
        <v>91</v>
      </c>
      <c r="D188" s="319" t="s">
        <v>1307</v>
      </c>
      <c r="E188" s="319" t="s">
        <v>1035</v>
      </c>
      <c r="F188" s="319" t="s">
        <v>1026</v>
      </c>
      <c r="G188" s="194">
        <f t="shared" si="9"/>
      </c>
      <c r="H188" s="319"/>
      <c r="I188" s="319"/>
      <c r="J188" s="319"/>
      <c r="K188" s="322" cm="1">
        <f t="array" ref="K188">IF(AND($D188="",$E188=""),"",INDEX('Teams Master'!$A$2:$A$14,INT((ROW()-2)/20)+1))</f>
      </c>
      <c r="L188" s="322" cm="1">
        <f t="array" ref="L188">IF(AND($D188="",$E188=""),"",INDEX('Teams Master'!$D$2:$D$14,INT((ROW()-2)/20)+1))</f>
      </c>
      <c r="M188" s="194">
        <f t="shared" si="10"/>
      </c>
      <c r="N188" s="194">
        <f t="shared" si="11"/>
      </c>
    </row>
    <row r="189" spans="1:14">
      <c r="A189" s="322" cm="1">
        <f t="array" ref="A189">INDEX('Teams Master'!$C$2:$C$14,INT((ROW()-2)/20)+1)</f>
      </c>
      <c r="B189" s="194">
        <f t="shared" si="8"/>
      </c>
      <c r="C189" s="319">
        <v>54</v>
      </c>
      <c r="D189" s="319" t="s">
        <v>1308</v>
      </c>
      <c r="E189" s="319" t="s">
        <v>1235</v>
      </c>
      <c r="F189" s="319" t="s">
        <v>1033</v>
      </c>
      <c r="G189" s="194">
        <f t="shared" si="9"/>
      </c>
      <c r="H189" s="319"/>
      <c r="I189" s="319"/>
      <c r="J189" s="319"/>
      <c r="K189" s="322" cm="1">
        <f t="array" ref="K189">IF(AND($D189="",$E189=""),"",INDEX('Teams Master'!$A$2:$A$14,INT((ROW()-2)/20)+1))</f>
      </c>
      <c r="L189" s="322" cm="1">
        <f t="array" ref="L189">IF(AND($D189="",$E189=""),"",INDEX('Teams Master'!$D$2:$D$14,INT((ROW()-2)/20)+1))</f>
      </c>
      <c r="M189" s="194">
        <f t="shared" si="10"/>
      </c>
      <c r="N189" s="194">
        <f t="shared" si="11"/>
      </c>
    </row>
    <row r="190" spans="1:14">
      <c r="A190" s="322" cm="1">
        <f t="array" ref="A190">INDEX('Teams Master'!$C$2:$C$14,INT((ROW()-2)/20)+1)</f>
      </c>
      <c r="B190" s="194">
        <f t="shared" si="8"/>
      </c>
      <c r="C190" s="319">
        <v>28</v>
      </c>
      <c r="D190" s="319" t="s">
        <v>1309</v>
      </c>
      <c r="E190" s="319" t="s">
        <v>1047</v>
      </c>
      <c r="F190" s="319" t="s">
        <v>1033</v>
      </c>
      <c r="G190" s="194">
        <f t="shared" si="9"/>
      </c>
      <c r="H190" s="319"/>
      <c r="I190" s="319"/>
      <c r="J190" s="319"/>
      <c r="K190" s="322" cm="1">
        <f t="array" ref="K190">IF(AND($D190="",$E190=""),"",INDEX('Teams Master'!$A$2:$A$14,INT((ROW()-2)/20)+1))</f>
      </c>
      <c r="L190" s="322" cm="1">
        <f t="array" ref="L190">IF(AND($D190="",$E190=""),"",INDEX('Teams Master'!$D$2:$D$14,INT((ROW()-2)/20)+1))</f>
      </c>
      <c r="M190" s="194">
        <f t="shared" si="10"/>
      </c>
      <c r="N190" s="194">
        <f t="shared" si="11"/>
      </c>
    </row>
    <row r="191" spans="1:14">
      <c r="A191" s="322" cm="1">
        <f t="array" ref="A191">INDEX('Teams Master'!$C$2:$C$14,INT((ROW()-2)/20)+1)</f>
      </c>
      <c r="B191" s="194">
        <f t="shared" si="8"/>
      </c>
      <c r="C191" s="319">
        <v>23</v>
      </c>
      <c r="D191" s="319" t="s">
        <v>1310</v>
      </c>
      <c r="E191" s="319" t="s">
        <v>1311</v>
      </c>
      <c r="F191" s="319" t="s">
        <v>1033</v>
      </c>
      <c r="G191" s="194">
        <f t="shared" si="9"/>
      </c>
      <c r="H191" s="319"/>
      <c r="I191" s="319"/>
      <c r="J191" s="319"/>
      <c r="K191" s="322" cm="1">
        <f t="array" ref="K191">IF(AND($D191="",$E191=""),"",INDEX('Teams Master'!$A$2:$A$14,INT((ROW()-2)/20)+1))</f>
      </c>
      <c r="L191" s="322" cm="1">
        <f t="array" ref="L191">IF(AND($D191="",$E191=""),"",INDEX('Teams Master'!$D$2:$D$14,INT((ROW()-2)/20)+1))</f>
      </c>
      <c r="M191" s="194">
        <f t="shared" si="10"/>
      </c>
      <c r="N191" s="194">
        <f t="shared" si="11"/>
      </c>
    </row>
    <row r="192" spans="1:14">
      <c r="A192" s="322" cm="1">
        <f t="array" ref="A192">INDEX('Teams Master'!$C$2:$C$14,INT((ROW()-2)/20)+1)</f>
      </c>
      <c r="B192" s="194">
        <f t="shared" si="8"/>
      </c>
      <c r="C192" s="319">
        <v>52</v>
      </c>
      <c r="D192" s="319" t="s">
        <v>1312</v>
      </c>
      <c r="E192" s="319" t="s">
        <v>1030</v>
      </c>
      <c r="F192" s="319" t="s">
        <v>1040</v>
      </c>
      <c r="G192" s="194">
        <f t="shared" si="9"/>
      </c>
      <c r="H192" s="319"/>
      <c r="I192" s="319"/>
      <c r="J192" s="319"/>
      <c r="K192" s="322" cm="1">
        <f t="array" ref="K192">IF(AND($D192="",$E192=""),"",INDEX('Teams Master'!$A$2:$A$14,INT((ROW()-2)/20)+1))</f>
      </c>
      <c r="L192" s="322" cm="1">
        <f t="array" ref="L192">IF(AND($D192="",$E192=""),"",INDEX('Teams Master'!$D$2:$D$14,INT((ROW()-2)/20)+1))</f>
      </c>
      <c r="M192" s="194">
        <f t="shared" si="10"/>
      </c>
      <c r="N192" s="194">
        <f t="shared" si="11"/>
      </c>
    </row>
    <row r="193" spans="1:14">
      <c r="A193" s="322" cm="1">
        <f t="array" ref="A193">INDEX('Teams Master'!$C$2:$C$14,INT((ROW()-2)/20)+1)</f>
      </c>
      <c r="B193" s="194">
        <f t="shared" si="8"/>
      </c>
      <c r="C193" s="319">
        <v>70</v>
      </c>
      <c r="D193" s="319" t="s">
        <v>1313</v>
      </c>
      <c r="E193" s="319" t="s">
        <v>1069</v>
      </c>
      <c r="F193" s="319" t="s">
        <v>1040</v>
      </c>
      <c r="G193" s="194">
        <f t="shared" si="9"/>
      </c>
      <c r="H193" s="319"/>
      <c r="I193" s="319"/>
      <c r="J193" s="319"/>
      <c r="K193" s="322" cm="1">
        <f t="array" ref="K193">IF(AND($D193="",$E193=""),"",INDEX('Teams Master'!$A$2:$A$14,INT((ROW()-2)/20)+1))</f>
      </c>
      <c r="L193" s="322" cm="1">
        <f t="array" ref="L193">IF(AND($D193="",$E193=""),"",INDEX('Teams Master'!$D$2:$D$14,INT((ROW()-2)/20)+1))</f>
      </c>
      <c r="M193" s="194">
        <f t="shared" si="10"/>
      </c>
      <c r="N193" s="194">
        <f t="shared" si="11"/>
      </c>
    </row>
    <row r="194" spans="1:14">
      <c r="A194" s="322" cm="1">
        <f t="array" ref="A194">INDEX('Teams Master'!$C$2:$C$14,INT((ROW()-2)/20)+1)</f>
      </c>
      <c r="B194" s="194">
        <f t="shared" ref="B194:B261" si="12">IF(MOD(ROW()-2,20)+1&lt;=16,"Player","Official")</f>
      </c>
      <c r="C194" s="319">
        <v>3</v>
      </c>
      <c r="D194" s="319" t="s">
        <v>1314</v>
      </c>
      <c r="E194" s="319" t="s">
        <v>1315</v>
      </c>
      <c r="F194" s="319" t="s">
        <v>1045</v>
      </c>
      <c r="G194" s="194">
        <f t="shared" ref="G194:G261" si="13">IF(MOD(ROW()-2,20)+1&lt;=16,"Player","Official "&amp;MID("ABCD",MOD(ROW()-2,20)-15,1))</f>
      </c>
      <c r="H194" s="319"/>
      <c r="I194" s="319"/>
      <c r="J194" s="319"/>
      <c r="K194" s="322" cm="1">
        <f t="array" ref="K194">IF(AND($D194="",$E194=""),"",INDEX('Teams Master'!$A$2:$A$14,INT((ROW()-2)/20)+1))</f>
      </c>
      <c r="L194" s="322" cm="1">
        <f t="array" ref="L194">IF(AND($D194="",$E194=""),"",INDEX('Teams Master'!$D$2:$D$14,INT((ROW()-2)/20)+1))</f>
      </c>
      <c r="M194" s="194">
        <f t="shared" ref="M194:M261" si="14">IF(AND($D194="",$E194=""),"",TRIM($D194&amp;" "&amp;$E194))</f>
      </c>
      <c r="N194" s="194">
        <f t="shared" ref="N194:N261" si="15">IF(AND($D194="",$E194=""),"",$A194&amp;"|"&amp;$G194)</f>
      </c>
    </row>
    <row r="195" spans="1:14">
      <c r="A195" s="322" cm="1">
        <f t="array" ref="A195">INDEX('Teams Master'!$C$2:$C$14,INT((ROW()-2)/20)+1)</f>
      </c>
      <c r="B195" s="194">
        <f t="shared" si="12"/>
      </c>
      <c r="C195" s="319">
        <v>93</v>
      </c>
      <c r="D195" s="319" t="s">
        <v>1316</v>
      </c>
      <c r="E195" s="319" t="s">
        <v>1317</v>
      </c>
      <c r="F195" s="319" t="s">
        <v>1045</v>
      </c>
      <c r="G195" s="194">
        <f t="shared" si="13"/>
      </c>
      <c r="H195" s="319"/>
      <c r="I195" s="319"/>
      <c r="J195" s="319"/>
      <c r="K195" s="322" cm="1">
        <f t="array" ref="K195">IF(AND($D195="",$E195=""),"",INDEX('Teams Master'!$A$2:$A$14,INT((ROW()-2)/20)+1))</f>
      </c>
      <c r="L195" s="322" cm="1">
        <f t="array" ref="L195">IF(AND($D195="",$E195=""),"",INDEX('Teams Master'!$D$2:$D$14,INT((ROW()-2)/20)+1))</f>
      </c>
      <c r="M195" s="194">
        <f t="shared" si="14"/>
      </c>
      <c r="N195" s="194">
        <f t="shared" si="15"/>
      </c>
    </row>
    <row r="196" spans="1:14">
      <c r="A196" s="322" cm="1">
        <f t="array" ref="A196">INDEX('Teams Master'!$C$2:$C$14,INT((ROW()-2)/20)+1)</f>
      </c>
      <c r="B196" s="194">
        <f t="shared" si="12"/>
      </c>
      <c r="C196" s="319">
        <v>13</v>
      </c>
      <c r="D196" s="319" t="s">
        <v>1318</v>
      </c>
      <c r="E196" s="319" t="s">
        <v>1187</v>
      </c>
      <c r="F196" s="319" t="s">
        <v>1050</v>
      </c>
      <c r="G196" s="194">
        <f t="shared" si="13"/>
      </c>
      <c r="H196" s="319"/>
      <c r="I196" s="319"/>
      <c r="J196" s="319"/>
      <c r="K196" s="322" cm="1">
        <f t="array" ref="K196">IF(AND($D196="",$E196=""),"",INDEX('Teams Master'!$A$2:$A$14,INT((ROW()-2)/20)+1))</f>
      </c>
      <c r="L196" s="322" cm="1">
        <f t="array" ref="L196">IF(AND($D196="",$E196=""),"",INDEX('Teams Master'!$D$2:$D$14,INT((ROW()-2)/20)+1))</f>
      </c>
      <c r="M196" s="194">
        <f t="shared" si="14"/>
      </c>
      <c r="N196" s="194">
        <f t="shared" si="15"/>
      </c>
    </row>
    <row r="197" spans="1:14">
      <c r="A197" s="322" cm="1">
        <f t="array" ref="A197">INDEX('Teams Master'!$C$2:$C$14,INT((ROW()-2)/20)+1)</f>
      </c>
      <c r="B197" s="194">
        <f t="shared" si="12"/>
      </c>
      <c r="C197" s="319">
        <v>38</v>
      </c>
      <c r="D197" s="319" t="s">
        <v>1319</v>
      </c>
      <c r="E197" s="319" t="s">
        <v>1082</v>
      </c>
      <c r="F197" s="319" t="s">
        <v>1050</v>
      </c>
      <c r="G197" s="194">
        <f t="shared" si="13"/>
      </c>
      <c r="H197" s="319"/>
      <c r="I197" s="319"/>
      <c r="J197" s="319"/>
      <c r="K197" s="322" cm="1">
        <f t="array" ref="K197">IF(AND($D197="",$E197=""),"",INDEX('Teams Master'!$A$2:$A$14,INT((ROW()-2)/20)+1))</f>
      </c>
      <c r="L197" s="322" cm="1">
        <f t="array" ref="L197">IF(AND($D197="",$E197=""),"",INDEX('Teams Master'!$D$2:$D$14,INT((ROW()-2)/20)+1))</f>
      </c>
      <c r="M197" s="194">
        <f t="shared" si="14"/>
      </c>
      <c r="N197" s="194">
        <f t="shared" si="15"/>
      </c>
    </row>
    <row r="198" spans="1:14">
      <c r="A198" s="373" cm="1">
        <f t="array" ref="A198">INDEX('Teams Master'!$C$2:$C$14,INT((ROW()-2)/20)+1)</f>
      </c>
      <c r="B198" s="196">
        <f t="shared" si="12"/>
      </c>
      <c r="C198" s="630"/>
      <c r="D198" s="630" t="s">
        <v>1138</v>
      </c>
      <c r="E198" s="630" t="s">
        <v>1320</v>
      </c>
      <c r="F198" s="630"/>
      <c r="G198" s="196">
        <f t="shared" si="13"/>
      </c>
      <c r="H198" s="630" t="s">
        <v>1321</v>
      </c>
      <c r="I198" s="630" t="s">
        <v>1322</v>
      </c>
      <c r="J198" s="630"/>
      <c r="K198" s="373" cm="1">
        <f t="array" ref="K198">IF(AND($D198="",$E198=""),"",INDEX('Teams Master'!$A$2:$A$14,INT((ROW()-2)/20)+1))</f>
      </c>
      <c r="L198" s="373" cm="1">
        <f t="array" ref="L198">IF(AND($D198="",$E198=""),"",INDEX('Teams Master'!$D$2:$D$14,INT((ROW()-2)/20)+1))</f>
      </c>
      <c r="M198" s="196">
        <f t="shared" si="14"/>
      </c>
      <c r="N198" s="196">
        <f t="shared" si="15"/>
      </c>
    </row>
    <row r="199" spans="1:14">
      <c r="A199" s="373" cm="1">
        <f t="array" ref="A199">INDEX('Teams Master'!$C$2:$C$14,INT((ROW()-2)/20)+1)</f>
      </c>
      <c r="B199" s="196">
        <f t="shared" si="12"/>
      </c>
      <c r="C199" s="630"/>
      <c r="D199" s="630" t="s">
        <v>1323</v>
      </c>
      <c r="E199" s="630" t="s">
        <v>1135</v>
      </c>
      <c r="F199" s="630"/>
      <c r="G199" s="196">
        <f t="shared" si="13"/>
      </c>
      <c r="H199" s="630" t="s">
        <v>1324</v>
      </c>
      <c r="I199" s="630" t="s">
        <v>1325</v>
      </c>
      <c r="J199" s="630"/>
      <c r="K199" s="373" cm="1">
        <f t="array" ref="K199">IF(AND($D199="",$E199=""),"",INDEX('Teams Master'!$A$2:$A$14,INT((ROW()-2)/20)+1))</f>
      </c>
      <c r="L199" s="373" cm="1">
        <f t="array" ref="L199">IF(AND($D199="",$E199=""),"",INDEX('Teams Master'!$D$2:$D$14,INT((ROW()-2)/20)+1))</f>
      </c>
      <c r="M199" s="196">
        <f t="shared" si="14"/>
      </c>
      <c r="N199" s="196">
        <f t="shared" si="15"/>
      </c>
    </row>
    <row r="200" spans="1:14">
      <c r="A200" s="373" cm="1">
        <f t="array" ref="A200">INDEX('Teams Master'!$C$2:$C$14,INT((ROW()-2)/20)+1)</f>
      </c>
      <c r="B200" s="196">
        <f t="shared" si="12"/>
      </c>
      <c r="C200" s="630"/>
      <c r="D200" s="630" t="s">
        <v>1326</v>
      </c>
      <c r="E200" s="630" t="s">
        <v>1327</v>
      </c>
      <c r="F200" s="630"/>
      <c r="G200" s="196">
        <f t="shared" si="13"/>
      </c>
      <c r="H200" s="630" t="s">
        <v>1328</v>
      </c>
      <c r="I200" s="630" t="s">
        <v>1329</v>
      </c>
      <c r="J200" s="630"/>
      <c r="K200" s="373" cm="1">
        <f t="array" ref="K200">IF(AND($D200="",$E200=""),"",INDEX('Teams Master'!$A$2:$A$14,INT((ROW()-2)/20)+1))</f>
      </c>
      <c r="L200" s="373" cm="1">
        <f t="array" ref="L200">IF(AND($D200="",$E200=""),"",INDEX('Teams Master'!$D$2:$D$14,INT((ROW()-2)/20)+1))</f>
      </c>
      <c r="M200" s="196">
        <f t="shared" si="14"/>
      </c>
      <c r="N200" s="196">
        <f t="shared" si="15"/>
      </c>
    </row>
    <row r="201" spans="1:14" ht="15" thickBot="1">
      <c r="A201" s="373" cm="1">
        <f t="array" ref="A201">INDEX('Teams Master'!$C$2:$C$14,INT((ROW()-2)/20)+1)</f>
      </c>
      <c r="B201" s="196">
        <f t="shared" si="12"/>
      </c>
      <c r="C201" s="630"/>
      <c r="D201" s="630" t="s">
        <v>1307</v>
      </c>
      <c r="E201" s="630" t="s">
        <v>1281</v>
      </c>
      <c r="F201" s="630"/>
      <c r="G201" s="196">
        <f t="shared" si="13"/>
      </c>
      <c r="H201" s="630" t="s">
        <v>1330</v>
      </c>
      <c r="I201" s="630" t="s">
        <v>1331</v>
      </c>
      <c r="J201" s="630"/>
      <c r="K201" s="373" cm="1">
        <f t="array" ref="K201">IF(AND($D201="",$E201=""),"",INDEX('Teams Master'!$A$2:$A$14,INT((ROW()-2)/20)+1))</f>
      </c>
      <c r="L201" s="373" cm="1">
        <f t="array" ref="L201">IF(AND($D201="",$E201=""),"",INDEX('Teams Master'!$D$2:$D$14,INT((ROW()-2)/20)+1))</f>
      </c>
      <c r="M201" s="196">
        <f t="shared" si="14"/>
      </c>
      <c r="N201" s="196">
        <f t="shared" si="15"/>
      </c>
    </row>
    <row r="202" spans="1:14">
      <c r="A202" s="627" cm="1">
        <f t="array" ref="A202">INDEX('Teams Master'!$C$2:$C$14,INT((ROW()-2)/20)+1)</f>
      </c>
      <c r="B202" s="628">
        <f t="shared" si="12"/>
      </c>
      <c r="C202" s="629">
        <v>1</v>
      </c>
      <c r="D202" s="629" t="s">
        <v>1332</v>
      </c>
      <c r="E202" s="629" t="s">
        <v>1317</v>
      </c>
      <c r="F202" s="629" t="s">
        <v>1014</v>
      </c>
      <c r="G202" s="628">
        <f t="shared" si="13"/>
      </c>
      <c r="H202" s="629"/>
      <c r="I202" s="629"/>
      <c r="J202" s="629"/>
      <c r="K202" s="627" cm="1">
        <f t="array" ref="K202">IF(AND($D202="",$E202=""),"",INDEX('Teams Master'!$A$2:$A$14,INT((ROW()-2)/20)+1))</f>
      </c>
      <c r="L202" s="627" cm="1">
        <f t="array" ref="L202">IF(AND($D202="",$E202=""),"",INDEX('Teams Master'!$D$2:$D$14,INT((ROW()-2)/20)+1))</f>
      </c>
      <c r="M202" s="628">
        <f t="shared" si="14"/>
      </c>
      <c r="N202" s="628">
        <f t="shared" si="15"/>
      </c>
    </row>
    <row r="203" spans="1:14">
      <c r="A203" s="322" cm="1">
        <f t="array" ref="A203">INDEX('Teams Master'!$C$2:$C$14,INT((ROW()-2)/20)+1)</f>
      </c>
      <c r="B203" s="194">
        <f t="shared" si="12"/>
      </c>
      <c r="C203" s="319">
        <v>12</v>
      </c>
      <c r="D203" s="319" t="s">
        <v>1333</v>
      </c>
      <c r="E203" s="319" t="s">
        <v>1187</v>
      </c>
      <c r="F203" s="319" t="s">
        <v>1014</v>
      </c>
      <c r="G203" s="194">
        <f t="shared" si="13"/>
      </c>
      <c r="H203" s="319"/>
      <c r="I203" s="319"/>
      <c r="J203" s="319"/>
      <c r="K203" s="322" cm="1">
        <f t="array" ref="K203">IF(AND($D203="",$E203=""),"",INDEX('Teams Master'!$A$2:$A$14,INT((ROW()-2)/20)+1))</f>
      </c>
      <c r="L203" s="322" cm="1">
        <f t="array" ref="L203">IF(AND($D203="",$E203=""),"",INDEX('Teams Master'!$D$2:$D$14,INT((ROW()-2)/20)+1))</f>
      </c>
      <c r="M203" s="194">
        <f t="shared" si="14"/>
      </c>
      <c r="N203" s="194">
        <f t="shared" si="15"/>
      </c>
    </row>
    <row r="204" spans="1:14">
      <c r="A204" s="322" cm="1">
        <f t="array" ref="A204">INDEX('Teams Master'!$C$2:$C$14,INT((ROW()-2)/20)+1)</f>
      </c>
      <c r="B204" s="194">
        <f t="shared" si="12"/>
      </c>
      <c r="C204" s="319">
        <v>84</v>
      </c>
      <c r="D204" s="319" t="s">
        <v>1312</v>
      </c>
      <c r="E204" s="319" t="s">
        <v>1288</v>
      </c>
      <c r="F204" s="319" t="s">
        <v>1021</v>
      </c>
      <c r="G204" s="194">
        <f t="shared" si="13"/>
      </c>
      <c r="H204" s="319"/>
      <c r="I204" s="319"/>
      <c r="J204" s="319"/>
      <c r="K204" s="322" cm="1">
        <f t="array" ref="K204">IF(AND($D204="",$E204=""),"",INDEX('Teams Master'!$A$2:$A$14,INT((ROW()-2)/20)+1))</f>
      </c>
      <c r="L204" s="322" cm="1">
        <f t="array" ref="L204">IF(AND($D204="",$E204=""),"",INDEX('Teams Master'!$D$2:$D$14,INT((ROW()-2)/20)+1))</f>
      </c>
      <c r="M204" s="194">
        <f t="shared" si="14"/>
      </c>
      <c r="N204" s="194">
        <f t="shared" si="15"/>
      </c>
    </row>
    <row r="205" spans="1:14">
      <c r="A205" s="322" cm="1">
        <f t="array" ref="A205">INDEX('Teams Master'!$C$2:$C$14,INT((ROW()-2)/20)+1)</f>
      </c>
      <c r="B205" s="194">
        <f t="shared" si="12"/>
      </c>
      <c r="C205" s="319">
        <v>50</v>
      </c>
      <c r="D205" s="319" t="s">
        <v>1308</v>
      </c>
      <c r="E205" s="319" t="s">
        <v>1082</v>
      </c>
      <c r="F205" s="319" t="s">
        <v>1021</v>
      </c>
      <c r="G205" s="194">
        <f t="shared" si="13"/>
      </c>
      <c r="H205" s="319"/>
      <c r="I205" s="319"/>
      <c r="J205" s="319"/>
      <c r="K205" s="322" cm="1">
        <f t="array" ref="K205">IF(AND($D205="",$E205=""),"",INDEX('Teams Master'!$A$2:$A$14,INT((ROW()-2)/20)+1))</f>
      </c>
      <c r="L205" s="322" cm="1">
        <f t="array" ref="L205">IF(AND($D205="",$E205=""),"",INDEX('Teams Master'!$D$2:$D$14,INT((ROW()-2)/20)+1))</f>
      </c>
      <c r="M205" s="194">
        <f t="shared" si="14"/>
      </c>
      <c r="N205" s="194">
        <f t="shared" si="15"/>
      </c>
    </row>
    <row r="206" spans="1:14">
      <c r="A206" s="322" cm="1">
        <f t="array" ref="A206">INDEX('Teams Master'!$C$2:$C$14,INT((ROW()-2)/20)+1)</f>
      </c>
      <c r="B206" s="194">
        <f t="shared" si="12"/>
      </c>
      <c r="C206" s="319">
        <v>9</v>
      </c>
      <c r="D206" s="319" t="s">
        <v>1138</v>
      </c>
      <c r="E206" s="319" t="s">
        <v>1215</v>
      </c>
      <c r="F206" s="319" t="s">
        <v>1026</v>
      </c>
      <c r="G206" s="194">
        <f t="shared" si="13"/>
      </c>
      <c r="H206" s="319"/>
      <c r="I206" s="319"/>
      <c r="J206" s="319"/>
      <c r="K206" s="322" cm="1">
        <f t="array" ref="K206">IF(AND($D206="",$E206=""),"",INDEX('Teams Master'!$A$2:$A$14,INT((ROW()-2)/20)+1))</f>
      </c>
      <c r="L206" s="322" cm="1">
        <f t="array" ref="L206">IF(AND($D206="",$E206=""),"",INDEX('Teams Master'!$D$2:$D$14,INT((ROW()-2)/20)+1))</f>
      </c>
      <c r="M206" s="194">
        <f t="shared" si="14"/>
      </c>
      <c r="N206" s="194">
        <f t="shared" si="15"/>
      </c>
    </row>
    <row r="207" spans="1:14">
      <c r="A207" s="322" cm="1">
        <f t="array" ref="A207">INDEX('Teams Master'!$C$2:$C$14,INT((ROW()-2)/20)+1)</f>
      </c>
      <c r="B207" s="194">
        <f t="shared" si="12"/>
      </c>
      <c r="C207" s="319">
        <v>10</v>
      </c>
      <c r="D207" s="319" t="s">
        <v>1334</v>
      </c>
      <c r="E207" s="319" t="s">
        <v>1259</v>
      </c>
      <c r="F207" s="319" t="s">
        <v>1026</v>
      </c>
      <c r="G207" s="194">
        <f t="shared" si="13"/>
      </c>
      <c r="H207" s="319"/>
      <c r="I207" s="319"/>
      <c r="J207" s="319"/>
      <c r="K207" s="322" cm="1">
        <f t="array" ref="K207">IF(AND($D207="",$E207=""),"",INDEX('Teams Master'!$A$2:$A$14,INT((ROW()-2)/20)+1))</f>
      </c>
      <c r="L207" s="322" cm="1">
        <f t="array" ref="L207">IF(AND($D207="",$E207=""),"",INDEX('Teams Master'!$D$2:$D$14,INT((ROW()-2)/20)+1))</f>
      </c>
      <c r="M207" s="194">
        <f t="shared" si="14"/>
      </c>
      <c r="N207" s="194">
        <f t="shared" si="15"/>
      </c>
    </row>
    <row r="208" spans="1:14">
      <c r="A208" s="322" cm="1">
        <f t="array" ref="A208">INDEX('Teams Master'!$C$2:$C$14,INT((ROW()-2)/20)+1)</f>
      </c>
      <c r="B208" s="194">
        <f t="shared" si="12"/>
      </c>
      <c r="C208" s="319">
        <v>77</v>
      </c>
      <c r="D208" s="319" t="s">
        <v>1200</v>
      </c>
      <c r="E208" s="319" t="s">
        <v>1052</v>
      </c>
      <c r="F208" s="319" t="s">
        <v>1026</v>
      </c>
      <c r="G208" s="194">
        <f t="shared" si="13"/>
      </c>
      <c r="H208" s="319"/>
      <c r="I208" s="319"/>
      <c r="J208" s="319"/>
      <c r="K208" s="322" cm="1">
        <f t="array" ref="K208">IF(AND($D208="",$E208=""),"",INDEX('Teams Master'!$A$2:$A$14,INT((ROW()-2)/20)+1))</f>
      </c>
      <c r="L208" s="322" cm="1">
        <f t="array" ref="L208">IF(AND($D208="",$E208=""),"",INDEX('Teams Master'!$D$2:$D$14,INT((ROW()-2)/20)+1))</f>
      </c>
      <c r="M208" s="194">
        <f t="shared" si="14"/>
      </c>
      <c r="N208" s="194">
        <f t="shared" si="15"/>
      </c>
    </row>
    <row r="209" spans="1:14">
      <c r="A209" s="322" cm="1">
        <f t="array" ref="A209">INDEX('Teams Master'!$C$2:$C$14,INT((ROW()-2)/20)+1)</f>
      </c>
      <c r="B209" s="194">
        <f t="shared" si="12"/>
      </c>
      <c r="C209" s="319">
        <v>34</v>
      </c>
      <c r="D209" s="319" t="s">
        <v>1335</v>
      </c>
      <c r="E209" s="319" t="s">
        <v>1099</v>
      </c>
      <c r="F209" s="319" t="s">
        <v>1033</v>
      </c>
      <c r="G209" s="194">
        <f t="shared" si="13"/>
      </c>
      <c r="H209" s="319"/>
      <c r="I209" s="319"/>
      <c r="J209" s="319"/>
      <c r="K209" s="322" cm="1">
        <f t="array" ref="K209">IF(AND($D209="",$E209=""),"",INDEX('Teams Master'!$A$2:$A$14,INT((ROW()-2)/20)+1))</f>
      </c>
      <c r="L209" s="322" cm="1">
        <f t="array" ref="L209">IF(AND($D209="",$E209=""),"",INDEX('Teams Master'!$D$2:$D$14,INT((ROW()-2)/20)+1))</f>
      </c>
      <c r="M209" s="194">
        <f t="shared" si="14"/>
      </c>
      <c r="N209" s="194">
        <f t="shared" si="15"/>
      </c>
    </row>
    <row r="210" spans="1:14">
      <c r="A210" s="322" cm="1">
        <f t="array" ref="A210">INDEX('Teams Master'!$C$2:$C$14,INT((ROW()-2)/20)+1)</f>
      </c>
      <c r="B210" s="194">
        <f t="shared" si="12"/>
      </c>
      <c r="C210" s="319">
        <v>17</v>
      </c>
      <c r="D210" s="319" t="s">
        <v>1316</v>
      </c>
      <c r="E210" s="319" t="s">
        <v>1336</v>
      </c>
      <c r="F210" s="319" t="s">
        <v>1033</v>
      </c>
      <c r="G210" s="194">
        <f t="shared" si="13"/>
      </c>
      <c r="H210" s="319"/>
      <c r="I210" s="319"/>
      <c r="J210" s="319"/>
      <c r="K210" s="322" cm="1">
        <f t="array" ref="K210">IF(AND($D210="",$E210=""),"",INDEX('Teams Master'!$A$2:$A$14,INT((ROW()-2)/20)+1))</f>
      </c>
      <c r="L210" s="322" cm="1">
        <f t="array" ref="L210">IF(AND($D210="",$E210=""),"",INDEX('Teams Master'!$D$2:$D$14,INT((ROW()-2)/20)+1))</f>
      </c>
      <c r="M210" s="194">
        <f t="shared" si="14"/>
      </c>
      <c r="N210" s="194">
        <f t="shared" si="15"/>
      </c>
    </row>
    <row r="211" spans="1:14">
      <c r="A211" s="322" cm="1">
        <f t="array" ref="A211">INDEX('Teams Master'!$C$2:$C$14,INT((ROW()-2)/20)+1)</f>
      </c>
      <c r="B211" s="194">
        <f t="shared" si="12"/>
      </c>
      <c r="C211" s="319">
        <v>23</v>
      </c>
      <c r="D211" s="319" t="s">
        <v>1128</v>
      </c>
      <c r="E211" s="319" t="s">
        <v>1337</v>
      </c>
      <c r="F211" s="319" t="s">
        <v>1033</v>
      </c>
      <c r="G211" s="194">
        <f t="shared" si="13"/>
      </c>
      <c r="H211" s="319"/>
      <c r="I211" s="319"/>
      <c r="J211" s="319"/>
      <c r="K211" s="322" cm="1">
        <f t="array" ref="K211">IF(AND($D211="",$E211=""),"",INDEX('Teams Master'!$A$2:$A$14,INT((ROW()-2)/20)+1))</f>
      </c>
      <c r="L211" s="322" cm="1">
        <f t="array" ref="L211">IF(AND($D211="",$E211=""),"",INDEX('Teams Master'!$D$2:$D$14,INT((ROW()-2)/20)+1))</f>
      </c>
      <c r="M211" s="194">
        <f t="shared" si="14"/>
      </c>
      <c r="N211" s="194">
        <f t="shared" si="15"/>
      </c>
    </row>
    <row r="212" spans="1:14">
      <c r="A212" s="322" cm="1">
        <f t="array" ref="A212">INDEX('Teams Master'!$C$2:$C$14,INT((ROW()-2)/20)+1)</f>
      </c>
      <c r="B212" s="194">
        <f t="shared" si="12"/>
      </c>
      <c r="C212" s="319">
        <v>2</v>
      </c>
      <c r="D212" s="319" t="s">
        <v>1166</v>
      </c>
      <c r="E212" s="319" t="s">
        <v>1278</v>
      </c>
      <c r="F212" s="319" t="s">
        <v>1040</v>
      </c>
      <c r="G212" s="194">
        <f t="shared" si="13"/>
      </c>
      <c r="H212" s="319"/>
      <c r="I212" s="319"/>
      <c r="J212" s="319"/>
      <c r="K212" s="322" cm="1">
        <f t="array" ref="K212">IF(AND($D212="",$E212=""),"",INDEX('Teams Master'!$A$2:$A$14,INT((ROW()-2)/20)+1))</f>
      </c>
      <c r="L212" s="322" cm="1">
        <f t="array" ref="L212">IF(AND($D212="",$E212=""),"",INDEX('Teams Master'!$D$2:$D$14,INT((ROW()-2)/20)+1))</f>
      </c>
      <c r="M212" s="194">
        <f t="shared" si="14"/>
      </c>
      <c r="N212" s="194">
        <f t="shared" si="15"/>
      </c>
    </row>
    <row r="213" spans="1:14">
      <c r="A213" s="322" cm="1">
        <f t="array" ref="A213">INDEX('Teams Master'!$C$2:$C$14,INT((ROW()-2)/20)+1)</f>
      </c>
      <c r="B213" s="194">
        <f t="shared" si="12"/>
      </c>
      <c r="C213" s="319">
        <v>51</v>
      </c>
      <c r="D213" s="319" t="s">
        <v>1318</v>
      </c>
      <c r="E213" s="319" t="s">
        <v>1080</v>
      </c>
      <c r="F213" s="319" t="s">
        <v>1040</v>
      </c>
      <c r="G213" s="194">
        <f t="shared" si="13"/>
      </c>
      <c r="H213" s="319"/>
      <c r="I213" s="319"/>
      <c r="J213" s="319"/>
      <c r="K213" s="322" cm="1">
        <f t="array" ref="K213">IF(AND($D213="",$E213=""),"",INDEX('Teams Master'!$A$2:$A$14,INT((ROW()-2)/20)+1))</f>
      </c>
      <c r="L213" s="322" cm="1">
        <f t="array" ref="L213">IF(AND($D213="",$E213=""),"",INDEX('Teams Master'!$D$2:$D$14,INT((ROW()-2)/20)+1))</f>
      </c>
      <c r="M213" s="194">
        <f t="shared" si="14"/>
      </c>
      <c r="N213" s="194">
        <f t="shared" si="15"/>
      </c>
    </row>
    <row r="214" spans="1:14">
      <c r="A214" s="322" cm="1">
        <f t="array" ref="A214">INDEX('Teams Master'!$C$2:$C$14,INT((ROW()-2)/20)+1)</f>
      </c>
      <c r="B214" s="194">
        <f t="shared" si="12"/>
      </c>
      <c r="C214" s="319">
        <v>20</v>
      </c>
      <c r="D214" s="319" t="s">
        <v>1338</v>
      </c>
      <c r="E214" s="319" t="s">
        <v>1047</v>
      </c>
      <c r="F214" s="319" t="s">
        <v>1045</v>
      </c>
      <c r="G214" s="194">
        <f t="shared" si="13"/>
      </c>
      <c r="H214" s="319"/>
      <c r="I214" s="319"/>
      <c r="J214" s="319"/>
      <c r="K214" s="322" cm="1">
        <f t="array" ref="K214">IF(AND($D214="",$E214=""),"",INDEX('Teams Master'!$A$2:$A$14,INT((ROW()-2)/20)+1))</f>
      </c>
      <c r="L214" s="322" cm="1">
        <f t="array" ref="L214">IF(AND($D214="",$E214=""),"",INDEX('Teams Master'!$D$2:$D$14,INT((ROW()-2)/20)+1))</f>
      </c>
      <c r="M214" s="194">
        <f t="shared" si="14"/>
      </c>
      <c r="N214" s="194">
        <f t="shared" si="15"/>
      </c>
    </row>
    <row r="215" spans="1:14">
      <c r="A215" s="322" cm="1">
        <f t="array" ref="A215">INDEX('Teams Master'!$C$2:$C$14,INT((ROW()-2)/20)+1)</f>
      </c>
      <c r="B215" s="194">
        <f t="shared" si="12"/>
      </c>
      <c r="C215" s="319">
        <v>14</v>
      </c>
      <c r="D215" s="319" t="s">
        <v>1339</v>
      </c>
      <c r="E215" s="319" t="s">
        <v>1340</v>
      </c>
      <c r="F215" s="319" t="s">
        <v>1045</v>
      </c>
      <c r="G215" s="194">
        <f t="shared" si="13"/>
      </c>
      <c r="H215" s="319"/>
      <c r="I215" s="319"/>
      <c r="J215" s="319"/>
      <c r="K215" s="322" cm="1">
        <f t="array" ref="K215">IF(AND($D215="",$E215=""),"",INDEX('Teams Master'!$A$2:$A$14,INT((ROW()-2)/20)+1))</f>
      </c>
      <c r="L215" s="322" cm="1">
        <f t="array" ref="L215">IF(AND($D215="",$E215=""),"",INDEX('Teams Master'!$D$2:$D$14,INT((ROW()-2)/20)+1))</f>
      </c>
      <c r="M215" s="194">
        <f t="shared" si="14"/>
      </c>
      <c r="N215" s="194">
        <f t="shared" si="15"/>
      </c>
    </row>
    <row r="216" spans="1:14">
      <c r="A216" s="322" cm="1">
        <f t="array" ref="A216">INDEX('Teams Master'!$C$2:$C$14,INT((ROW()-2)/20)+1)</f>
      </c>
      <c r="B216" s="194">
        <f t="shared" si="12"/>
      </c>
      <c r="C216" s="319">
        <v>82</v>
      </c>
      <c r="D216" s="319" t="s">
        <v>1274</v>
      </c>
      <c r="E216" s="319" t="s">
        <v>1121</v>
      </c>
      <c r="F216" s="319" t="s">
        <v>1050</v>
      </c>
      <c r="G216" s="194">
        <f t="shared" si="13"/>
      </c>
      <c r="H216" s="319"/>
      <c r="I216" s="319"/>
      <c r="J216" s="319"/>
      <c r="K216" s="322" cm="1">
        <f t="array" ref="K216">IF(AND($D216="",$E216=""),"",INDEX('Teams Master'!$A$2:$A$14,INT((ROW()-2)/20)+1))</f>
      </c>
      <c r="L216" s="322" cm="1">
        <f t="array" ref="L216">IF(AND($D216="",$E216=""),"",INDEX('Teams Master'!$D$2:$D$14,INT((ROW()-2)/20)+1))</f>
      </c>
      <c r="M216" s="194">
        <f t="shared" si="14"/>
      </c>
      <c r="N216" s="194">
        <f t="shared" si="15"/>
      </c>
    </row>
    <row r="217" spans="1:14">
      <c r="A217" s="322" cm="1">
        <f t="array" ref="A217">INDEX('Teams Master'!$C$2:$C$14,INT((ROW()-2)/20)+1)</f>
      </c>
      <c r="B217" s="194">
        <f t="shared" si="12"/>
      </c>
      <c r="C217" s="319">
        <v>11</v>
      </c>
      <c r="D217" s="319" t="s">
        <v>1341</v>
      </c>
      <c r="E217" s="319" t="s">
        <v>1340</v>
      </c>
      <c r="F217" s="319" t="s">
        <v>1050</v>
      </c>
      <c r="G217" s="194">
        <f t="shared" si="13"/>
      </c>
      <c r="H217" s="319"/>
      <c r="I217" s="319"/>
      <c r="J217" s="319"/>
      <c r="K217" s="322" cm="1">
        <f t="array" ref="K217">IF(AND($D217="",$E217=""),"",INDEX('Teams Master'!$A$2:$A$14,INT((ROW()-2)/20)+1))</f>
      </c>
      <c r="L217" s="322" cm="1">
        <f t="array" ref="L217">IF(AND($D217="",$E217=""),"",INDEX('Teams Master'!$D$2:$D$14,INT((ROW()-2)/20)+1))</f>
      </c>
      <c r="M217" s="194">
        <f t="shared" si="14"/>
      </c>
      <c r="N217" s="194">
        <f t="shared" si="15"/>
      </c>
    </row>
    <row r="218" spans="1:14">
      <c r="A218" s="373" cm="1">
        <f t="array" ref="A218">INDEX('Teams Master'!$C$2:$C$14,INT((ROW()-2)/20)+1)</f>
      </c>
      <c r="B218" s="196">
        <f t="shared" si="12"/>
      </c>
      <c r="C218" s="630"/>
      <c r="D218" s="630" t="s">
        <v>1342</v>
      </c>
      <c r="E218" s="630" t="s">
        <v>1237</v>
      </c>
      <c r="F218" s="630"/>
      <c r="G218" s="196">
        <f t="shared" si="13"/>
      </c>
      <c r="H218" s="630" t="s">
        <v>1343</v>
      </c>
      <c r="I218" s="630" t="s">
        <v>1344</v>
      </c>
      <c r="J218" s="630"/>
      <c r="K218" s="373" cm="1">
        <f t="array" ref="K218">IF(AND($D218="",$E218=""),"",INDEX('Teams Master'!$A$2:$A$14,INT((ROW()-2)/20)+1))</f>
      </c>
      <c r="L218" s="373" cm="1">
        <f t="array" ref="L218">IF(AND($D218="",$E218=""),"",INDEX('Teams Master'!$D$2:$D$14,INT((ROW()-2)/20)+1))</f>
      </c>
      <c r="M218" s="196">
        <f t="shared" si="14"/>
      </c>
      <c r="N218" s="196">
        <f t="shared" si="15"/>
      </c>
    </row>
    <row r="219" spans="1:14">
      <c r="A219" s="373" cm="1">
        <f t="array" ref="A219">INDEX('Teams Master'!$C$2:$C$14,INT((ROW()-2)/20)+1)</f>
      </c>
      <c r="B219" s="196">
        <f t="shared" si="12"/>
      </c>
      <c r="C219" s="630"/>
      <c r="D219" s="630" t="s">
        <v>1038</v>
      </c>
      <c r="E219" s="630" t="s">
        <v>1315</v>
      </c>
      <c r="F219" s="630"/>
      <c r="G219" s="196">
        <f t="shared" si="13"/>
      </c>
      <c r="H219" s="630" t="s">
        <v>1345</v>
      </c>
      <c r="I219" s="630" t="s">
        <v>1346</v>
      </c>
      <c r="J219" s="630"/>
      <c r="K219" s="373" cm="1">
        <f t="array" ref="K219">IF(AND($D219="",$E219=""),"",INDEX('Teams Master'!$A$2:$A$14,INT((ROW()-2)/20)+1))</f>
      </c>
      <c r="L219" s="373" cm="1">
        <f t="array" ref="L219">IF(AND($D219="",$E219=""),"",INDEX('Teams Master'!$D$2:$D$14,INT((ROW()-2)/20)+1))</f>
      </c>
      <c r="M219" s="196">
        <f t="shared" si="14"/>
      </c>
      <c r="N219" s="196">
        <f t="shared" si="15"/>
      </c>
    </row>
    <row r="220" spans="1:14">
      <c r="A220" s="373" cm="1">
        <f t="array" ref="A220">INDEX('Teams Master'!$C$2:$C$14,INT((ROW()-2)/20)+1)</f>
      </c>
      <c r="B220" s="196">
        <f t="shared" si="12"/>
      </c>
      <c r="C220" s="630"/>
      <c r="D220" s="630" t="s">
        <v>1318</v>
      </c>
      <c r="E220" s="630" t="s">
        <v>1160</v>
      </c>
      <c r="F220" s="630"/>
      <c r="G220" s="196">
        <f t="shared" si="13"/>
      </c>
      <c r="H220" s="630" t="s">
        <v>1347</v>
      </c>
      <c r="I220" s="630" t="s">
        <v>1348</v>
      </c>
      <c r="J220" s="630"/>
      <c r="K220" s="373" cm="1">
        <f t="array" ref="K220">IF(AND($D220="",$E220=""),"",INDEX('Teams Master'!$A$2:$A$14,INT((ROW()-2)/20)+1))</f>
      </c>
      <c r="L220" s="373" cm="1">
        <f t="array" ref="L220">IF(AND($D220="",$E220=""),"",INDEX('Teams Master'!$D$2:$D$14,INT((ROW()-2)/20)+1))</f>
      </c>
      <c r="M220" s="196">
        <f t="shared" si="14"/>
      </c>
      <c r="N220" s="196">
        <f t="shared" si="15"/>
      </c>
    </row>
    <row r="221" spans="1:14" ht="15" thickBot="1">
      <c r="A221" s="373" cm="1">
        <f t="array" ref="A221">INDEX('Teams Master'!$C$2:$C$14,INT((ROW()-2)/20)+1)</f>
      </c>
      <c r="B221" s="196">
        <f t="shared" si="12"/>
      </c>
      <c r="C221" s="630"/>
      <c r="D221" s="630" t="s">
        <v>1070</v>
      </c>
      <c r="E221" s="630" t="s">
        <v>1349</v>
      </c>
      <c r="F221" s="630"/>
      <c r="G221" s="196">
        <f t="shared" si="13"/>
      </c>
      <c r="H221" s="630" t="s">
        <v>1350</v>
      </c>
      <c r="I221" s="630" t="s">
        <v>1351</v>
      </c>
      <c r="J221" s="630"/>
      <c r="K221" s="373" cm="1">
        <f t="array" ref="K221">IF(AND($D221="",$E221=""),"",INDEX('Teams Master'!$A$2:$A$14,INT((ROW()-2)/20)+1))</f>
      </c>
      <c r="L221" s="373" cm="1">
        <f t="array" ref="L221">IF(AND($D221="",$E221=""),"",INDEX('Teams Master'!$D$2:$D$14,INT((ROW()-2)/20)+1))</f>
      </c>
      <c r="M221" s="196">
        <f t="shared" si="14"/>
      </c>
      <c r="N221" s="196">
        <f t="shared" si="15"/>
      </c>
    </row>
    <row r="222" spans="1:14">
      <c r="A222" s="627" cm="1">
        <f t="array" ref="A222">INDEX('Teams Master'!$C$2:$C$14,INT((ROW()-2)/20)+1)</f>
      </c>
      <c r="B222" s="628">
        <f t="shared" si="12"/>
      </c>
      <c r="C222" s="629">
        <v>1</v>
      </c>
      <c r="D222" s="629" t="s">
        <v>1314</v>
      </c>
      <c r="E222" s="629" t="s">
        <v>1273</v>
      </c>
      <c r="F222" s="629" t="s">
        <v>1014</v>
      </c>
      <c r="G222" s="628">
        <f t="shared" si="13"/>
      </c>
      <c r="H222" s="629"/>
      <c r="I222" s="629"/>
      <c r="J222" s="629"/>
      <c r="K222" s="627" cm="1">
        <f t="array" ref="K222">IF(AND($D222="",$E222=""),"",INDEX('Teams Master'!$A$2:$A$14,INT((ROW()-2)/20)+1))</f>
      </c>
      <c r="L222" s="627" cm="1">
        <f t="array" ref="L222">IF(AND($D222="",$E222=""),"",INDEX('Teams Master'!$D$2:$D$14,INT((ROW()-2)/20)+1))</f>
      </c>
      <c r="M222" s="628">
        <f t="shared" si="14"/>
      </c>
      <c r="N222" s="628">
        <f t="shared" si="15"/>
      </c>
    </row>
    <row r="223" spans="1:14">
      <c r="A223" s="322" cm="1">
        <f t="array" ref="A223">INDEX('Teams Master'!$C$2:$C$14,INT((ROW()-2)/20)+1)</f>
      </c>
      <c r="B223" s="194">
        <f t="shared" si="12"/>
      </c>
      <c r="C223" s="319">
        <v>12</v>
      </c>
      <c r="D223" s="319" t="s">
        <v>1053</v>
      </c>
      <c r="E223" s="319" t="s">
        <v>1118</v>
      </c>
      <c r="F223" s="319" t="s">
        <v>1014</v>
      </c>
      <c r="G223" s="194">
        <f t="shared" si="13"/>
      </c>
      <c r="H223" s="319"/>
      <c r="I223" s="319"/>
      <c r="J223" s="319"/>
      <c r="K223" s="322" cm="1">
        <f t="array" ref="K223">IF(AND($D223="",$E223=""),"",INDEX('Teams Master'!$A$2:$A$14,INT((ROW()-2)/20)+1))</f>
      </c>
      <c r="L223" s="322" cm="1">
        <f t="array" ref="L223">IF(AND($D223="",$E223=""),"",INDEX('Teams Master'!$D$2:$D$14,INT((ROW()-2)/20)+1))</f>
      </c>
      <c r="M223" s="194">
        <f t="shared" si="14"/>
      </c>
      <c r="N223" s="194">
        <f t="shared" si="15"/>
      </c>
    </row>
    <row r="224" spans="1:14">
      <c r="A224" s="322" cm="1">
        <f t="array" ref="A224">INDEX('Teams Master'!$C$2:$C$14,INT((ROW()-2)/20)+1)</f>
      </c>
      <c r="B224" s="194">
        <f t="shared" si="12"/>
      </c>
      <c r="C224" s="319">
        <v>7</v>
      </c>
      <c r="D224" s="319" t="s">
        <v>1287</v>
      </c>
      <c r="E224" s="319" t="s">
        <v>1337</v>
      </c>
      <c r="F224" s="319" t="s">
        <v>1021</v>
      </c>
      <c r="G224" s="194">
        <f t="shared" si="13"/>
      </c>
      <c r="H224" s="319"/>
      <c r="I224" s="319"/>
      <c r="J224" s="319"/>
      <c r="K224" s="322" cm="1">
        <f t="array" ref="K224">IF(AND($D224="",$E224=""),"",INDEX('Teams Master'!$A$2:$A$14,INT((ROW()-2)/20)+1))</f>
      </c>
      <c r="L224" s="322" cm="1">
        <f t="array" ref="L224">IF(AND($D224="",$E224=""),"",INDEX('Teams Master'!$D$2:$D$14,INT((ROW()-2)/20)+1))</f>
      </c>
      <c r="M224" s="194">
        <f t="shared" si="14"/>
      </c>
      <c r="N224" s="194">
        <f t="shared" si="15"/>
      </c>
    </row>
    <row r="225" spans="1:14">
      <c r="A225" s="322" cm="1">
        <f t="array" ref="A225">INDEX('Teams Master'!$C$2:$C$14,INT((ROW()-2)/20)+1)</f>
      </c>
      <c r="B225" s="194">
        <f t="shared" si="12"/>
      </c>
      <c r="C225" s="319">
        <v>63</v>
      </c>
      <c r="D225" s="319" t="s">
        <v>1313</v>
      </c>
      <c r="E225" s="319" t="s">
        <v>1039</v>
      </c>
      <c r="F225" s="319" t="s">
        <v>1021</v>
      </c>
      <c r="G225" s="194">
        <f t="shared" si="13"/>
      </c>
      <c r="H225" s="319"/>
      <c r="I225" s="319"/>
      <c r="J225" s="319"/>
      <c r="K225" s="322" cm="1">
        <f t="array" ref="K225">IF(AND($D225="",$E225=""),"",INDEX('Teams Master'!$A$2:$A$14,INT((ROW()-2)/20)+1))</f>
      </c>
      <c r="L225" s="322" cm="1">
        <f t="array" ref="L225">IF(AND($D225="",$E225=""),"",INDEX('Teams Master'!$D$2:$D$14,INT((ROW()-2)/20)+1))</f>
      </c>
      <c r="M225" s="194">
        <f t="shared" si="14"/>
      </c>
      <c r="N225" s="194">
        <f t="shared" si="15"/>
      </c>
    </row>
    <row r="226" spans="1:14">
      <c r="A226" s="322" cm="1">
        <f t="array" ref="A226">INDEX('Teams Master'!$C$2:$C$14,INT((ROW()-2)/20)+1)</f>
      </c>
      <c r="B226" s="194">
        <f t="shared" si="12"/>
      </c>
      <c r="C226" s="319">
        <v>65</v>
      </c>
      <c r="D226" s="319" t="s">
        <v>1352</v>
      </c>
      <c r="E226" s="319" t="s">
        <v>1078</v>
      </c>
      <c r="F226" s="319" t="s">
        <v>1026</v>
      </c>
      <c r="G226" s="194">
        <f t="shared" si="13"/>
      </c>
      <c r="H226" s="319"/>
      <c r="I226" s="319"/>
      <c r="J226" s="319"/>
      <c r="K226" s="322" cm="1">
        <f t="array" ref="K226">IF(AND($D226="",$E226=""),"",INDEX('Teams Master'!$A$2:$A$14,INT((ROW()-2)/20)+1))</f>
      </c>
      <c r="L226" s="322" cm="1">
        <f t="array" ref="L226">IF(AND($D226="",$E226=""),"",INDEX('Teams Master'!$D$2:$D$14,INT((ROW()-2)/20)+1))</f>
      </c>
      <c r="M226" s="194">
        <f t="shared" si="14"/>
      </c>
      <c r="N226" s="194">
        <f t="shared" si="15"/>
      </c>
    </row>
    <row r="227" spans="1:14">
      <c r="A227" s="322" cm="1">
        <f t="array" ref="A227">INDEX('Teams Master'!$C$2:$C$14,INT((ROW()-2)/20)+1)</f>
      </c>
      <c r="B227" s="194">
        <f t="shared" si="12"/>
      </c>
      <c r="C227" s="319">
        <v>22</v>
      </c>
      <c r="D227" s="319" t="s">
        <v>1341</v>
      </c>
      <c r="E227" s="319" t="s">
        <v>1213</v>
      </c>
      <c r="F227" s="319" t="s">
        <v>1026</v>
      </c>
      <c r="G227" s="194">
        <f t="shared" si="13"/>
      </c>
      <c r="H227" s="319"/>
      <c r="I227" s="319"/>
      <c r="J227" s="319"/>
      <c r="K227" s="322" cm="1">
        <f t="array" ref="K227">IF(AND($D227="",$E227=""),"",INDEX('Teams Master'!$A$2:$A$14,INT((ROW()-2)/20)+1))</f>
      </c>
      <c r="L227" s="322" cm="1">
        <f t="array" ref="L227">IF(AND($D227="",$E227=""),"",INDEX('Teams Master'!$D$2:$D$14,INT((ROW()-2)/20)+1))</f>
      </c>
      <c r="M227" s="194">
        <f t="shared" si="14"/>
      </c>
      <c r="N227" s="194">
        <f t="shared" si="15"/>
      </c>
    </row>
    <row r="228" spans="1:14">
      <c r="A228" s="322" cm="1">
        <f t="array" ref="A228">INDEX('Teams Master'!$C$2:$C$14,INT((ROW()-2)/20)+1)</f>
      </c>
      <c r="B228" s="194">
        <f t="shared" si="12"/>
      </c>
      <c r="C228" s="319">
        <v>86</v>
      </c>
      <c r="D228" s="319" t="s">
        <v>1318</v>
      </c>
      <c r="E228" s="319" t="s">
        <v>1121</v>
      </c>
      <c r="F228" s="319" t="s">
        <v>1026</v>
      </c>
      <c r="G228" s="194">
        <f t="shared" si="13"/>
      </c>
      <c r="H228" s="319"/>
      <c r="I228" s="319"/>
      <c r="J228" s="319"/>
      <c r="K228" s="322" cm="1">
        <f t="array" ref="K228">IF(AND($D228="",$E228=""),"",INDEX('Teams Master'!$A$2:$A$14,INT((ROW()-2)/20)+1))</f>
      </c>
      <c r="L228" s="322" cm="1">
        <f t="array" ref="L228">IF(AND($D228="",$E228=""),"",INDEX('Teams Master'!$D$2:$D$14,INT((ROW()-2)/20)+1))</f>
      </c>
      <c r="M228" s="194">
        <f t="shared" si="14"/>
      </c>
      <c r="N228" s="194">
        <f t="shared" si="15"/>
      </c>
    </row>
    <row r="229" spans="1:14">
      <c r="A229" s="322" cm="1">
        <f t="array" ref="A229">INDEX('Teams Master'!$C$2:$C$14,INT((ROW()-2)/20)+1)</f>
      </c>
      <c r="B229" s="194">
        <f t="shared" si="12"/>
      </c>
      <c r="C229" s="319">
        <v>17</v>
      </c>
      <c r="D229" s="319" t="s">
        <v>1272</v>
      </c>
      <c r="E229" s="319" t="s">
        <v>1353</v>
      </c>
      <c r="F229" s="319" t="s">
        <v>1033</v>
      </c>
      <c r="G229" s="194">
        <f t="shared" si="13"/>
      </c>
      <c r="H229" s="319"/>
      <c r="I229" s="319"/>
      <c r="J229" s="319"/>
      <c r="K229" s="322" cm="1">
        <f t="array" ref="K229">IF(AND($D229="",$E229=""),"",INDEX('Teams Master'!$A$2:$A$14,INT((ROW()-2)/20)+1))</f>
      </c>
      <c r="L229" s="322" cm="1">
        <f t="array" ref="L229">IF(AND($D229="",$E229=""),"",INDEX('Teams Master'!$D$2:$D$14,INT((ROW()-2)/20)+1))</f>
      </c>
      <c r="M229" s="194">
        <f t="shared" si="14"/>
      </c>
      <c r="N229" s="194">
        <f t="shared" si="15"/>
      </c>
    </row>
    <row r="230" spans="1:14">
      <c r="A230" s="322" cm="1">
        <f t="array" ref="A230">INDEX('Teams Master'!$C$2:$C$14,INT((ROW()-2)/20)+1)</f>
      </c>
      <c r="B230" s="194">
        <f t="shared" si="12"/>
      </c>
      <c r="C230" s="319">
        <v>18</v>
      </c>
      <c r="D230" s="319" t="s">
        <v>1354</v>
      </c>
      <c r="E230" s="319" t="s">
        <v>1355</v>
      </c>
      <c r="F230" s="319" t="s">
        <v>1033</v>
      </c>
      <c r="G230" s="194">
        <f t="shared" si="13"/>
      </c>
      <c r="H230" s="319"/>
      <c r="I230" s="319"/>
      <c r="J230" s="319"/>
      <c r="K230" s="322" cm="1">
        <f t="array" ref="K230">IF(AND($D230="",$E230=""),"",INDEX('Teams Master'!$A$2:$A$14,INT((ROW()-2)/20)+1))</f>
      </c>
      <c r="L230" s="322" cm="1">
        <f t="array" ref="L230">IF(AND($D230="",$E230=""),"",INDEX('Teams Master'!$D$2:$D$14,INT((ROW()-2)/20)+1))</f>
      </c>
      <c r="M230" s="194">
        <f t="shared" si="14"/>
      </c>
      <c r="N230" s="194">
        <f t="shared" si="15"/>
      </c>
    </row>
    <row r="231" spans="1:14">
      <c r="A231" s="322" cm="1">
        <f t="array" ref="A231">INDEX('Teams Master'!$C$2:$C$14,INT((ROW()-2)/20)+1)</f>
      </c>
      <c r="B231" s="194">
        <f t="shared" si="12"/>
      </c>
      <c r="C231" s="319">
        <v>94</v>
      </c>
      <c r="D231" s="319" t="s">
        <v>1356</v>
      </c>
      <c r="E231" s="319" t="s">
        <v>1183</v>
      </c>
      <c r="F231" s="319" t="s">
        <v>1033</v>
      </c>
      <c r="G231" s="194">
        <f t="shared" si="13"/>
      </c>
      <c r="H231" s="319"/>
      <c r="I231" s="319"/>
      <c r="J231" s="319"/>
      <c r="K231" s="322" cm="1">
        <f t="array" ref="K231">IF(AND($D231="",$E231=""),"",INDEX('Teams Master'!$A$2:$A$14,INT((ROW()-2)/20)+1))</f>
      </c>
      <c r="L231" s="322" cm="1">
        <f t="array" ref="L231">IF(AND($D231="",$E231=""),"",INDEX('Teams Master'!$D$2:$D$14,INT((ROW()-2)/20)+1))</f>
      </c>
      <c r="M231" s="194">
        <f t="shared" si="14"/>
      </c>
      <c r="N231" s="194">
        <f t="shared" si="15"/>
      </c>
    </row>
    <row r="232" spans="1:14">
      <c r="A232" s="322" cm="1">
        <f t="array" ref="A232">INDEX('Teams Master'!$C$2:$C$14,INT((ROW()-2)/20)+1)</f>
      </c>
      <c r="B232" s="194">
        <f t="shared" si="12"/>
      </c>
      <c r="C232" s="319">
        <v>80</v>
      </c>
      <c r="D232" s="319" t="s">
        <v>1166</v>
      </c>
      <c r="E232" s="319" t="s">
        <v>1232</v>
      </c>
      <c r="F232" s="319" t="s">
        <v>1040</v>
      </c>
      <c r="G232" s="194">
        <f t="shared" si="13"/>
      </c>
      <c r="H232" s="319"/>
      <c r="I232" s="319"/>
      <c r="J232" s="319"/>
      <c r="K232" s="322" cm="1">
        <f t="array" ref="K232">IF(AND($D232="",$E232=""),"",INDEX('Teams Master'!$A$2:$A$14,INT((ROW()-2)/20)+1))</f>
      </c>
      <c r="L232" s="322" cm="1">
        <f t="array" ref="L232">IF(AND($D232="",$E232=""),"",INDEX('Teams Master'!$D$2:$D$14,INT((ROW()-2)/20)+1))</f>
      </c>
      <c r="M232" s="194">
        <f t="shared" si="14"/>
      </c>
      <c r="N232" s="194">
        <f t="shared" si="15"/>
      </c>
    </row>
    <row r="233" spans="1:14">
      <c r="A233" s="322" cm="1">
        <f t="array" ref="A233">INDEX('Teams Master'!$C$2:$C$14,INT((ROW()-2)/20)+1)</f>
      </c>
      <c r="B233" s="194">
        <f t="shared" si="12"/>
      </c>
      <c r="C233" s="319">
        <v>64</v>
      </c>
      <c r="D233" s="319" t="s">
        <v>1357</v>
      </c>
      <c r="E233" s="319" t="s">
        <v>1358</v>
      </c>
      <c r="F233" s="319" t="s">
        <v>1040</v>
      </c>
      <c r="G233" s="194">
        <f t="shared" si="13"/>
      </c>
      <c r="H233" s="319"/>
      <c r="I233" s="319"/>
      <c r="J233" s="319"/>
      <c r="K233" s="322" cm="1">
        <f t="array" ref="K233">IF(AND($D233="",$E233=""),"",INDEX('Teams Master'!$A$2:$A$14,INT((ROW()-2)/20)+1))</f>
      </c>
      <c r="L233" s="322" cm="1">
        <f t="array" ref="L233">IF(AND($D233="",$E233=""),"",INDEX('Teams Master'!$D$2:$D$14,INT((ROW()-2)/20)+1))</f>
      </c>
      <c r="M233" s="194">
        <f t="shared" si="14"/>
      </c>
      <c r="N233" s="194">
        <f t="shared" si="15"/>
      </c>
    </row>
    <row r="234" spans="1:14">
      <c r="A234" s="322" cm="1">
        <f t="array" ref="A234">INDEX('Teams Master'!$C$2:$C$14,INT((ROW()-2)/20)+1)</f>
      </c>
      <c r="B234" s="194">
        <f t="shared" si="12"/>
      </c>
      <c r="C234" s="319">
        <v>25</v>
      </c>
      <c r="D234" s="319" t="s">
        <v>1057</v>
      </c>
      <c r="E234" s="319" t="s">
        <v>1129</v>
      </c>
      <c r="F234" s="319" t="s">
        <v>1045</v>
      </c>
      <c r="G234" s="194">
        <f t="shared" si="13"/>
      </c>
      <c r="H234" s="319"/>
      <c r="I234" s="319"/>
      <c r="J234" s="319"/>
      <c r="K234" s="322" cm="1">
        <f t="array" ref="K234">IF(AND($D234="",$E234=""),"",INDEX('Teams Master'!$A$2:$A$14,INT((ROW()-2)/20)+1))</f>
      </c>
      <c r="L234" s="322" cm="1">
        <f t="array" ref="L234">IF(AND($D234="",$E234=""),"",INDEX('Teams Master'!$D$2:$D$14,INT((ROW()-2)/20)+1))</f>
      </c>
      <c r="M234" s="194">
        <f t="shared" si="14"/>
      </c>
      <c r="N234" s="194">
        <f t="shared" si="15"/>
      </c>
    </row>
    <row r="235" spans="1:14">
      <c r="A235" s="322" cm="1">
        <f t="array" ref="A235">INDEX('Teams Master'!$C$2:$C$14,INT((ROW()-2)/20)+1)</f>
      </c>
      <c r="B235" s="194">
        <f t="shared" si="12"/>
      </c>
      <c r="C235" s="319">
        <v>67</v>
      </c>
      <c r="D235" s="319" t="s">
        <v>1359</v>
      </c>
      <c r="E235" s="319" t="s">
        <v>1187</v>
      </c>
      <c r="F235" s="319" t="s">
        <v>1045</v>
      </c>
      <c r="G235" s="194">
        <f t="shared" si="13"/>
      </c>
      <c r="H235" s="319"/>
      <c r="I235" s="319"/>
      <c r="J235" s="319"/>
      <c r="K235" s="322" cm="1">
        <f t="array" ref="K235">IF(AND($D235="",$E235=""),"",INDEX('Teams Master'!$A$2:$A$14,INT((ROW()-2)/20)+1))</f>
      </c>
      <c r="L235" s="322" cm="1">
        <f t="array" ref="L235">IF(AND($D235="",$E235=""),"",INDEX('Teams Master'!$D$2:$D$14,INT((ROW()-2)/20)+1))</f>
      </c>
      <c r="M235" s="194">
        <f t="shared" si="14"/>
      </c>
      <c r="N235" s="194">
        <f t="shared" si="15"/>
      </c>
    </row>
    <row r="236" spans="1:14">
      <c r="A236" s="322" cm="1">
        <f t="array" ref="A236">INDEX('Teams Master'!$C$2:$C$14,INT((ROW()-2)/20)+1)</f>
      </c>
      <c r="B236" s="194">
        <f t="shared" si="12"/>
      </c>
      <c r="C236" s="319">
        <v>8</v>
      </c>
      <c r="D236" s="319" t="s">
        <v>1105</v>
      </c>
      <c r="E236" s="319" t="s">
        <v>1360</v>
      </c>
      <c r="F236" s="319" t="s">
        <v>1050</v>
      </c>
      <c r="G236" s="194">
        <f t="shared" si="13"/>
      </c>
      <c r="H236" s="319"/>
      <c r="I236" s="319"/>
      <c r="J236" s="319"/>
      <c r="K236" s="322" cm="1">
        <f t="array" ref="K236">IF(AND($D236="",$E236=""),"",INDEX('Teams Master'!$A$2:$A$14,INT((ROW()-2)/20)+1))</f>
      </c>
      <c r="L236" s="322" cm="1">
        <f t="array" ref="L236">IF(AND($D236="",$E236=""),"",INDEX('Teams Master'!$D$2:$D$14,INT((ROW()-2)/20)+1))</f>
      </c>
      <c r="M236" s="194">
        <f t="shared" si="14"/>
      </c>
      <c r="N236" s="194">
        <f t="shared" si="15"/>
      </c>
    </row>
    <row r="237" spans="1:14">
      <c r="A237" s="322" cm="1">
        <f t="array" ref="A237">INDEX('Teams Master'!$C$2:$C$14,INT((ROW()-2)/20)+1)</f>
      </c>
      <c r="B237" s="194">
        <f t="shared" si="12"/>
      </c>
      <c r="C237" s="319">
        <v>50</v>
      </c>
      <c r="D237" s="319" t="s">
        <v>1102</v>
      </c>
      <c r="E237" s="319" t="s">
        <v>1213</v>
      </c>
      <c r="F237" s="319" t="s">
        <v>1050</v>
      </c>
      <c r="G237" s="194">
        <f t="shared" si="13"/>
      </c>
      <c r="H237" s="319"/>
      <c r="I237" s="319"/>
      <c r="J237" s="319"/>
      <c r="K237" s="322" cm="1">
        <f t="array" ref="K237">IF(AND($D237="",$E237=""),"",INDEX('Teams Master'!$A$2:$A$14,INT((ROW()-2)/20)+1))</f>
      </c>
      <c r="L237" s="322" cm="1">
        <f t="array" ref="L237">IF(AND($D237="",$E237=""),"",INDEX('Teams Master'!$D$2:$D$14,INT((ROW()-2)/20)+1))</f>
      </c>
      <c r="M237" s="194">
        <f t="shared" si="14"/>
      </c>
      <c r="N237" s="194">
        <f t="shared" si="15"/>
      </c>
    </row>
    <row r="238" spans="1:14">
      <c r="A238" s="373" cm="1">
        <f t="array" ref="A238">INDEX('Teams Master'!$C$2:$C$14,INT((ROW()-2)/20)+1)</f>
      </c>
      <c r="B238" s="196">
        <f t="shared" si="12"/>
      </c>
      <c r="C238" s="630"/>
      <c r="D238" s="630" t="s">
        <v>1332</v>
      </c>
      <c r="E238" s="630" t="s">
        <v>1349</v>
      </c>
      <c r="F238" s="630"/>
      <c r="G238" s="196">
        <f t="shared" si="13"/>
      </c>
      <c r="H238" s="630" t="s">
        <v>1361</v>
      </c>
      <c r="I238" s="630" t="s">
        <v>1362</v>
      </c>
      <c r="J238" s="630"/>
      <c r="K238" s="373" cm="1">
        <f t="array" ref="K238">IF(AND($D238="",$E238=""),"",INDEX('Teams Master'!$A$2:$A$14,INT((ROW()-2)/20)+1))</f>
      </c>
      <c r="L238" s="373" cm="1">
        <f t="array" ref="L238">IF(AND($D238="",$E238=""),"",INDEX('Teams Master'!$D$2:$D$14,INT((ROW()-2)/20)+1))</f>
      </c>
      <c r="M238" s="196">
        <f t="shared" si="14"/>
      </c>
      <c r="N238" s="196">
        <f t="shared" si="15"/>
      </c>
    </row>
    <row r="239" spans="1:14">
      <c r="A239" s="373" cm="1">
        <f t="array" ref="A239">INDEX('Teams Master'!$C$2:$C$14,INT((ROW()-2)/20)+1)</f>
      </c>
      <c r="B239" s="196">
        <f t="shared" si="12"/>
      </c>
      <c r="C239" s="630"/>
      <c r="D239" s="630" t="s">
        <v>1363</v>
      </c>
      <c r="E239" s="630" t="s">
        <v>1353</v>
      </c>
      <c r="F239" s="630"/>
      <c r="G239" s="196">
        <f t="shared" si="13"/>
      </c>
      <c r="H239" s="630" t="s">
        <v>1364</v>
      </c>
      <c r="I239" s="630" t="s">
        <v>1365</v>
      </c>
      <c r="J239" s="630"/>
      <c r="K239" s="373" cm="1">
        <f t="array" ref="K239">IF(AND($D239="",$E239=""),"",INDEX('Teams Master'!$A$2:$A$14,INT((ROW()-2)/20)+1))</f>
      </c>
      <c r="L239" s="373" cm="1">
        <f t="array" ref="L239">IF(AND($D239="",$E239=""),"",INDEX('Teams Master'!$D$2:$D$14,INT((ROW()-2)/20)+1))</f>
      </c>
      <c r="M239" s="196">
        <f t="shared" si="14"/>
      </c>
      <c r="N239" s="196">
        <f t="shared" si="15"/>
      </c>
    </row>
    <row r="240" spans="1:14">
      <c r="A240" s="373" cm="1">
        <f t="array" ref="A240">INDEX('Teams Master'!$C$2:$C$14,INT((ROW()-2)/20)+1)</f>
      </c>
      <c r="B240" s="196">
        <f t="shared" si="12"/>
      </c>
      <c r="C240" s="630"/>
      <c r="D240" s="630" t="s">
        <v>1287</v>
      </c>
      <c r="E240" s="630" t="s">
        <v>1179</v>
      </c>
      <c r="F240" s="630"/>
      <c r="G240" s="196">
        <f t="shared" si="13"/>
      </c>
      <c r="H240" s="630" t="s">
        <v>1366</v>
      </c>
      <c r="I240" s="630" t="s">
        <v>1367</v>
      </c>
      <c r="J240" s="630"/>
      <c r="K240" s="373" cm="1">
        <f t="array" ref="K240">IF(AND($D240="",$E240=""),"",INDEX('Teams Master'!$A$2:$A$14,INT((ROW()-2)/20)+1))</f>
      </c>
      <c r="L240" s="373" cm="1">
        <f t="array" ref="L240">IF(AND($D240="",$E240=""),"",INDEX('Teams Master'!$D$2:$D$14,INT((ROW()-2)/20)+1))</f>
      </c>
      <c r="M240" s="196">
        <f t="shared" si="14"/>
      </c>
      <c r="N240" s="196">
        <f t="shared" si="15"/>
      </c>
    </row>
    <row r="241" spans="1:14" ht="15" thickBot="1">
      <c r="A241" s="373" cm="1">
        <f t="array" ref="A241">INDEX('Teams Master'!$C$2:$C$14,INT((ROW()-2)/20)+1)</f>
      </c>
      <c r="B241" s="196">
        <f t="shared" si="12"/>
      </c>
      <c r="C241" s="630"/>
      <c r="D241" s="630" t="s">
        <v>1024</v>
      </c>
      <c r="E241" s="630" t="s">
        <v>1030</v>
      </c>
      <c r="F241" s="630"/>
      <c r="G241" s="196">
        <f t="shared" si="13"/>
      </c>
      <c r="H241" s="630" t="s">
        <v>1368</v>
      </c>
      <c r="I241" s="630" t="s">
        <v>1369</v>
      </c>
      <c r="J241" s="630"/>
      <c r="K241" s="373" cm="1">
        <f t="array" ref="K241">IF(AND($D241="",$E241=""),"",INDEX('Teams Master'!$A$2:$A$14,INT((ROW()-2)/20)+1))</f>
      </c>
      <c r="L241" s="373" cm="1">
        <f t="array" ref="L241">IF(AND($D241="",$E241=""),"",INDEX('Teams Master'!$D$2:$D$14,INT((ROW()-2)/20)+1))</f>
      </c>
      <c r="M241" s="196">
        <f t="shared" si="14"/>
      </c>
      <c r="N241" s="196">
        <f t="shared" si="15"/>
      </c>
    </row>
    <row r="242" spans="1:14">
      <c r="A242" s="627" cm="1">
        <f t="array" ref="A242">INDEX('Teams Master'!$C$2:$C$14,INT((ROW()-2)/20)+1)</f>
      </c>
      <c r="B242" s="628">
        <f t="shared" si="12"/>
      </c>
      <c r="C242" s="629"/>
      <c r="D242" s="629"/>
      <c r="E242" s="629"/>
      <c r="F242" s="629"/>
      <c r="G242" s="628">
        <f t="shared" si="13"/>
      </c>
      <c r="H242" s="629"/>
      <c r="I242" s="629"/>
      <c r="J242" s="629"/>
      <c r="K242" s="627" cm="1">
        <f t="array" ref="K242">IF(AND($D242="",$E242=""),"",INDEX('Teams Master'!$A$2:$A$14,INT((ROW()-2)/20)+1))</f>
      </c>
      <c r="L242" s="627" cm="1">
        <f t="array" ref="L242">IF(AND($D242="",$E242=""),"",INDEX('Teams Master'!$D$2:$D$14,INT((ROW()-2)/20)+1))</f>
      </c>
      <c r="M242" s="628">
        <f t="shared" si="14"/>
      </c>
      <c r="N242" s="628">
        <f t="shared" si="15"/>
      </c>
    </row>
    <row r="243" spans="1:14">
      <c r="A243" s="322" cm="1">
        <f t="array" ref="A243">INDEX('Teams Master'!$C$2:$C$14,INT((ROW()-2)/20)+1)</f>
      </c>
      <c r="B243" s="194">
        <f t="shared" si="12"/>
      </c>
      <c r="C243" s="319"/>
      <c r="D243" s="319"/>
      <c r="E243" s="319"/>
      <c r="F243" s="319"/>
      <c r="G243" s="194">
        <f t="shared" si="13"/>
      </c>
      <c r="H243" s="319"/>
      <c r="I243" s="319"/>
      <c r="J243" s="319"/>
      <c r="K243" s="322" cm="1">
        <f t="array" ref="K243">IF(AND($D243="",$E243=""),"",INDEX('Teams Master'!$A$2:$A$14,INT((ROW()-2)/20)+1))</f>
      </c>
      <c r="L243" s="322" cm="1">
        <f t="array" ref="L243">IF(AND($D243="",$E243=""),"",INDEX('Teams Master'!$D$2:$D$14,INT((ROW()-2)/20)+1))</f>
      </c>
      <c r="M243" s="194">
        <f t="shared" si="14"/>
      </c>
      <c r="N243" s="194">
        <f t="shared" si="15"/>
      </c>
    </row>
    <row r="244" spans="1:14">
      <c r="A244" s="322" cm="1">
        <f t="array" ref="A244">INDEX('Teams Master'!$C$2:$C$14,INT((ROW()-2)/20)+1)</f>
      </c>
      <c r="B244" s="194">
        <f t="shared" si="12"/>
      </c>
      <c r="C244" s="319"/>
      <c r="D244" s="319"/>
      <c r="E244" s="319"/>
      <c r="F244" s="319"/>
      <c r="G244" s="194">
        <f t="shared" si="13"/>
      </c>
      <c r="H244" s="319"/>
      <c r="I244" s="319"/>
      <c r="J244" s="319"/>
      <c r="K244" s="322" cm="1">
        <f t="array" ref="K244">IF(AND($D244="",$E244=""),"",INDEX('Teams Master'!$A$2:$A$14,INT((ROW()-2)/20)+1))</f>
      </c>
      <c r="L244" s="322" cm="1">
        <f t="array" ref="L244">IF(AND($D244="",$E244=""),"",INDEX('Teams Master'!$D$2:$D$14,INT((ROW()-2)/20)+1))</f>
      </c>
      <c r="M244" s="194">
        <f t="shared" si="14"/>
      </c>
      <c r="N244" s="194">
        <f t="shared" si="15"/>
      </c>
    </row>
    <row r="245" spans="1:14">
      <c r="A245" s="322" cm="1">
        <f t="array" ref="A245">INDEX('Teams Master'!$C$2:$C$14,INT((ROW()-2)/20)+1)</f>
      </c>
      <c r="B245" s="194">
        <f t="shared" si="12"/>
      </c>
      <c r="C245" s="319"/>
      <c r="D245" s="319"/>
      <c r="E245" s="319"/>
      <c r="F245" s="319"/>
      <c r="G245" s="194">
        <f t="shared" si="13"/>
      </c>
      <c r="H245" s="319"/>
      <c r="I245" s="319"/>
      <c r="J245" s="319"/>
      <c r="K245" s="322" cm="1">
        <f t="array" ref="K245">IF(AND($D245="",$E245=""),"",INDEX('Teams Master'!$A$2:$A$14,INT((ROW()-2)/20)+1))</f>
      </c>
      <c r="L245" s="322" cm="1">
        <f t="array" ref="L245">IF(AND($D245="",$E245=""),"",INDEX('Teams Master'!$D$2:$D$14,INT((ROW()-2)/20)+1))</f>
      </c>
      <c r="M245" s="194">
        <f t="shared" si="14"/>
      </c>
      <c r="N245" s="194">
        <f t="shared" si="15"/>
      </c>
    </row>
    <row r="246" spans="1:14">
      <c r="A246" s="322" cm="1">
        <f t="array" ref="A246">INDEX('Teams Master'!$C$2:$C$14,INT((ROW()-2)/20)+1)</f>
      </c>
      <c r="B246" s="194">
        <f t="shared" si="12"/>
      </c>
      <c r="C246" s="319"/>
      <c r="D246" s="319"/>
      <c r="E246" s="319"/>
      <c r="F246" s="319"/>
      <c r="G246" s="194">
        <f t="shared" si="13"/>
      </c>
      <c r="H246" s="319"/>
      <c r="I246" s="319"/>
      <c r="J246" s="319"/>
      <c r="K246" s="322" cm="1">
        <f t="array" ref="K246">IF(AND($D246="",$E246=""),"",INDEX('Teams Master'!$A$2:$A$14,INT((ROW()-2)/20)+1))</f>
      </c>
      <c r="L246" s="322" cm="1">
        <f t="array" ref="L246">IF(AND($D246="",$E246=""),"",INDEX('Teams Master'!$D$2:$D$14,INT((ROW()-2)/20)+1))</f>
      </c>
      <c r="M246" s="194">
        <f t="shared" si="14"/>
      </c>
      <c r="N246" s="194">
        <f t="shared" si="15"/>
      </c>
    </row>
    <row r="247" spans="1:14">
      <c r="A247" s="322" cm="1">
        <f t="array" ref="A247">INDEX('Teams Master'!$C$2:$C$14,INT((ROW()-2)/20)+1)</f>
      </c>
      <c r="B247" s="194">
        <f t="shared" si="12"/>
      </c>
      <c r="C247" s="319"/>
      <c r="D247" s="319"/>
      <c r="E247" s="319"/>
      <c r="F247" s="319"/>
      <c r="G247" s="194">
        <f t="shared" si="13"/>
      </c>
      <c r="H247" s="319"/>
      <c r="I247" s="319"/>
      <c r="J247" s="319"/>
      <c r="K247" s="322" cm="1">
        <f t="array" ref="K247">IF(AND($D247="",$E247=""),"",INDEX('Teams Master'!$A$2:$A$14,INT((ROW()-2)/20)+1))</f>
      </c>
      <c r="L247" s="322" cm="1">
        <f t="array" ref="L247">IF(AND($D247="",$E247=""),"",INDEX('Teams Master'!$D$2:$D$14,INT((ROW()-2)/20)+1))</f>
      </c>
      <c r="M247" s="194">
        <f t="shared" si="14"/>
      </c>
      <c r="N247" s="194">
        <f t="shared" si="15"/>
      </c>
    </row>
    <row r="248" spans="1:14">
      <c r="A248" s="322" cm="1">
        <f t="array" ref="A248">INDEX('Teams Master'!$C$2:$C$14,INT((ROW()-2)/20)+1)</f>
      </c>
      <c r="B248" s="194">
        <f t="shared" si="12"/>
      </c>
      <c r="C248" s="319"/>
      <c r="D248" s="319"/>
      <c r="E248" s="319"/>
      <c r="F248" s="319"/>
      <c r="G248" s="194">
        <f t="shared" si="13"/>
      </c>
      <c r="H248" s="319"/>
      <c r="I248" s="319"/>
      <c r="J248" s="319"/>
      <c r="K248" s="322" cm="1">
        <f t="array" ref="K248">IF(AND($D248="",$E248=""),"",INDEX('Teams Master'!$A$2:$A$14,INT((ROW()-2)/20)+1))</f>
      </c>
      <c r="L248" s="322" cm="1">
        <f t="array" ref="L248">IF(AND($D248="",$E248=""),"",INDEX('Teams Master'!$D$2:$D$14,INT((ROW()-2)/20)+1))</f>
      </c>
      <c r="M248" s="194">
        <f t="shared" si="14"/>
      </c>
      <c r="N248" s="194">
        <f t="shared" si="15"/>
      </c>
    </row>
    <row r="249" spans="1:14">
      <c r="A249" s="322" cm="1">
        <f t="array" ref="A249">INDEX('Teams Master'!$C$2:$C$14,INT((ROW()-2)/20)+1)</f>
      </c>
      <c r="B249" s="194">
        <f t="shared" si="12"/>
      </c>
      <c r="C249" s="319"/>
      <c r="D249" s="319"/>
      <c r="E249" s="319"/>
      <c r="F249" s="319"/>
      <c r="G249" s="194">
        <f t="shared" si="13"/>
      </c>
      <c r="H249" s="319"/>
      <c r="I249" s="319"/>
      <c r="J249" s="319"/>
      <c r="K249" s="322" cm="1">
        <f t="array" ref="K249">IF(AND($D249="",$E249=""),"",INDEX('Teams Master'!$A$2:$A$14,INT((ROW()-2)/20)+1))</f>
      </c>
      <c r="L249" s="322" cm="1">
        <f t="array" ref="L249">IF(AND($D249="",$E249=""),"",INDEX('Teams Master'!$D$2:$D$14,INT((ROW()-2)/20)+1))</f>
      </c>
      <c r="M249" s="194">
        <f t="shared" si="14"/>
      </c>
      <c r="N249" s="194">
        <f t="shared" si="15"/>
      </c>
    </row>
    <row r="250" spans="1:14">
      <c r="A250" s="322" cm="1">
        <f t="array" ref="A250">INDEX('Teams Master'!$C$2:$C$14,INT((ROW()-2)/20)+1)</f>
      </c>
      <c r="B250" s="194">
        <f t="shared" si="12"/>
      </c>
      <c r="C250" s="319"/>
      <c r="D250" s="319"/>
      <c r="E250" s="319"/>
      <c r="F250" s="319"/>
      <c r="G250" s="194">
        <f t="shared" si="13"/>
      </c>
      <c r="H250" s="319"/>
      <c r="I250" s="319"/>
      <c r="J250" s="319"/>
      <c r="K250" s="322" cm="1">
        <f t="array" ref="K250">IF(AND($D250="",$E250=""),"",INDEX('Teams Master'!$A$2:$A$14,INT((ROW()-2)/20)+1))</f>
      </c>
      <c r="L250" s="322" cm="1">
        <f t="array" ref="L250">IF(AND($D250="",$E250=""),"",INDEX('Teams Master'!$D$2:$D$14,INT((ROW()-2)/20)+1))</f>
      </c>
      <c r="M250" s="194">
        <f t="shared" si="14"/>
      </c>
      <c r="N250" s="194">
        <f t="shared" si="15"/>
      </c>
    </row>
    <row r="251" spans="1:14">
      <c r="A251" s="322" cm="1">
        <f t="array" ref="A251">INDEX('Teams Master'!$C$2:$C$14,INT((ROW()-2)/20)+1)</f>
      </c>
      <c r="B251" s="194">
        <f t="shared" si="12"/>
      </c>
      <c r="C251" s="319"/>
      <c r="D251" s="319"/>
      <c r="E251" s="319"/>
      <c r="F251" s="319"/>
      <c r="G251" s="194">
        <f t="shared" si="13"/>
      </c>
      <c r="H251" s="319"/>
      <c r="I251" s="319"/>
      <c r="J251" s="319"/>
      <c r="K251" s="322" cm="1">
        <f t="array" ref="K251">IF(AND($D251="",$E251=""),"",INDEX('Teams Master'!$A$2:$A$14,INT((ROW()-2)/20)+1))</f>
      </c>
      <c r="L251" s="322" cm="1">
        <f t="array" ref="L251">IF(AND($D251="",$E251=""),"",INDEX('Teams Master'!$D$2:$D$14,INT((ROW()-2)/20)+1))</f>
      </c>
      <c r="M251" s="194">
        <f t="shared" si="14"/>
      </c>
      <c r="N251" s="194">
        <f t="shared" si="15"/>
      </c>
    </row>
    <row r="252" spans="1:14">
      <c r="A252" s="322" cm="1">
        <f t="array" ref="A252">INDEX('Teams Master'!$C$2:$C$14,INT((ROW()-2)/20)+1)</f>
      </c>
      <c r="B252" s="194">
        <f t="shared" si="12"/>
      </c>
      <c r="C252" s="319"/>
      <c r="D252" s="319"/>
      <c r="E252" s="319"/>
      <c r="F252" s="319"/>
      <c r="G252" s="194">
        <f t="shared" si="13"/>
      </c>
      <c r="H252" s="319"/>
      <c r="I252" s="319"/>
      <c r="J252" s="319"/>
      <c r="K252" s="322" cm="1">
        <f t="array" ref="K252">IF(AND($D252="",$E252=""),"",INDEX('Teams Master'!$A$2:$A$14,INT((ROW()-2)/20)+1))</f>
      </c>
      <c r="L252" s="322" cm="1">
        <f t="array" ref="L252">IF(AND($D252="",$E252=""),"",INDEX('Teams Master'!$D$2:$D$14,INT((ROW()-2)/20)+1))</f>
      </c>
      <c r="M252" s="194">
        <f t="shared" si="14"/>
      </c>
      <c r="N252" s="194">
        <f t="shared" si="15"/>
      </c>
    </row>
    <row r="253" spans="1:14">
      <c r="A253" s="322" cm="1">
        <f t="array" ref="A253">INDEX('Teams Master'!$C$2:$C$14,INT((ROW()-2)/20)+1)</f>
      </c>
      <c r="B253" s="194">
        <f t="shared" si="12"/>
      </c>
      <c r="C253" s="319"/>
      <c r="D253" s="319"/>
      <c r="E253" s="319"/>
      <c r="F253" s="319"/>
      <c r="G253" s="194">
        <f t="shared" si="13"/>
      </c>
      <c r="H253" s="319"/>
      <c r="I253" s="319"/>
      <c r="J253" s="319"/>
      <c r="K253" s="322" cm="1">
        <f t="array" ref="K253">IF(AND($D253="",$E253=""),"",INDEX('Teams Master'!$A$2:$A$14,INT((ROW()-2)/20)+1))</f>
      </c>
      <c r="L253" s="322" cm="1">
        <f t="array" ref="L253">IF(AND($D253="",$E253=""),"",INDEX('Teams Master'!$D$2:$D$14,INT((ROW()-2)/20)+1))</f>
      </c>
      <c r="M253" s="194">
        <f t="shared" si="14"/>
      </c>
      <c r="N253" s="194">
        <f t="shared" si="15"/>
      </c>
    </row>
    <row r="254" spans="1:14">
      <c r="A254" s="322" cm="1">
        <f t="array" ref="A254">INDEX('Teams Master'!$C$2:$C$14,INT((ROW()-2)/20)+1)</f>
      </c>
      <c r="B254" s="194">
        <f t="shared" si="12"/>
      </c>
      <c r="C254" s="319"/>
      <c r="D254" s="319"/>
      <c r="E254" s="319"/>
      <c r="F254" s="319"/>
      <c r="G254" s="194">
        <f t="shared" si="13"/>
      </c>
      <c r="H254" s="319"/>
      <c r="I254" s="319"/>
      <c r="J254" s="319"/>
      <c r="K254" s="322" cm="1">
        <f t="array" ref="K254">IF(AND($D254="",$E254=""),"",INDEX('Teams Master'!$A$2:$A$14,INT((ROW()-2)/20)+1))</f>
      </c>
      <c r="L254" s="322" cm="1">
        <f t="array" ref="L254">IF(AND($D254="",$E254=""),"",INDEX('Teams Master'!$D$2:$D$14,INT((ROW()-2)/20)+1))</f>
      </c>
      <c r="M254" s="194">
        <f t="shared" si="14"/>
      </c>
      <c r="N254" s="194">
        <f t="shared" si="15"/>
      </c>
    </row>
    <row r="255" spans="1:14">
      <c r="A255" s="322" cm="1">
        <f t="array" ref="A255">INDEX('Teams Master'!$C$2:$C$14,INT((ROW()-2)/20)+1)</f>
      </c>
      <c r="B255" s="194">
        <f t="shared" si="12"/>
      </c>
      <c r="C255" s="319"/>
      <c r="D255" s="319"/>
      <c r="E255" s="319"/>
      <c r="F255" s="319"/>
      <c r="G255" s="194">
        <f t="shared" si="13"/>
      </c>
      <c r="H255" s="319"/>
      <c r="I255" s="319"/>
      <c r="J255" s="319"/>
      <c r="K255" s="322" cm="1">
        <f t="array" ref="K255">IF(AND($D255="",$E255=""),"",INDEX('Teams Master'!$A$2:$A$14,INT((ROW()-2)/20)+1))</f>
      </c>
      <c r="L255" s="322" cm="1">
        <f t="array" ref="L255">IF(AND($D255="",$E255=""),"",INDEX('Teams Master'!$D$2:$D$14,INT((ROW()-2)/20)+1))</f>
      </c>
      <c r="M255" s="194">
        <f t="shared" si="14"/>
      </c>
      <c r="N255" s="194">
        <f t="shared" si="15"/>
      </c>
    </row>
    <row r="256" spans="1:14">
      <c r="A256" s="322" cm="1">
        <f t="array" ref="A256">INDEX('Teams Master'!$C$2:$C$14,INT((ROW()-2)/20)+1)</f>
      </c>
      <c r="B256" s="194">
        <f t="shared" si="12"/>
      </c>
      <c r="C256" s="319"/>
      <c r="D256" s="319"/>
      <c r="E256" s="319"/>
      <c r="F256" s="319"/>
      <c r="G256" s="194">
        <f t="shared" si="13"/>
      </c>
      <c r="H256" s="319"/>
      <c r="I256" s="319"/>
      <c r="J256" s="319"/>
      <c r="K256" s="322" cm="1">
        <f t="array" ref="K256">IF(AND($D256="",$E256=""),"",INDEX('Teams Master'!$A$2:$A$14,INT((ROW()-2)/20)+1))</f>
      </c>
      <c r="L256" s="322" cm="1">
        <f t="array" ref="L256">IF(AND($D256="",$E256=""),"",INDEX('Teams Master'!$D$2:$D$14,INT((ROW()-2)/20)+1))</f>
      </c>
      <c r="M256" s="194">
        <f t="shared" si="14"/>
      </c>
      <c r="N256" s="194">
        <f t="shared" si="15"/>
      </c>
    </row>
    <row r="257" spans="1:14">
      <c r="A257" s="322" cm="1">
        <f t="array" ref="A257">INDEX('Teams Master'!$C$2:$C$14,INT((ROW()-2)/20)+1)</f>
      </c>
      <c r="B257" s="194">
        <f t="shared" si="12"/>
      </c>
      <c r="C257" s="319"/>
      <c r="D257" s="319"/>
      <c r="E257" s="319"/>
      <c r="F257" s="319"/>
      <c r="G257" s="194">
        <f t="shared" si="13"/>
      </c>
      <c r="H257" s="319"/>
      <c r="I257" s="319"/>
      <c r="J257" s="319"/>
      <c r="K257" s="322" cm="1">
        <f t="array" ref="K257">IF(AND($D257="",$E257=""),"",INDEX('Teams Master'!$A$2:$A$14,INT((ROW()-2)/20)+1))</f>
      </c>
      <c r="L257" s="322" cm="1">
        <f t="array" ref="L257">IF(AND($D257="",$E257=""),"",INDEX('Teams Master'!$D$2:$D$14,INT((ROW()-2)/20)+1))</f>
      </c>
      <c r="M257" s="194">
        <f t="shared" si="14"/>
      </c>
      <c r="N257" s="194">
        <f t="shared" si="15"/>
      </c>
    </row>
    <row r="258" spans="1:14">
      <c r="A258" s="373" cm="1">
        <f t="array" ref="A258">INDEX('Teams Master'!$C$2:$C$14,INT((ROW()-2)/20)+1)</f>
      </c>
      <c r="B258" s="196">
        <f t="shared" si="12"/>
      </c>
      <c r="C258" s="630"/>
      <c r="D258" s="630"/>
      <c r="E258" s="630"/>
      <c r="F258" s="630"/>
      <c r="G258" s="196">
        <f t="shared" si="13"/>
      </c>
      <c r="H258" s="630"/>
      <c r="I258" s="630"/>
      <c r="J258" s="630"/>
      <c r="K258" s="373" cm="1">
        <f t="array" ref="K258">IF(AND($D258="",$E258=""),"",INDEX('Teams Master'!$A$2:$A$14,INT((ROW()-2)/20)+1))</f>
      </c>
      <c r="L258" s="373" cm="1">
        <f t="array" ref="L258">IF(AND($D258="",$E258=""),"",INDEX('Teams Master'!$D$2:$D$14,INT((ROW()-2)/20)+1))</f>
      </c>
      <c r="M258" s="196">
        <f t="shared" si="14"/>
      </c>
      <c r="N258" s="196">
        <f t="shared" si="15"/>
      </c>
    </row>
    <row r="259" spans="1:14">
      <c r="A259" s="373" cm="1">
        <f t="array" ref="A259">INDEX('Teams Master'!$C$2:$C$14,INT((ROW()-2)/20)+1)</f>
      </c>
      <c r="B259" s="196">
        <f t="shared" si="12"/>
      </c>
      <c r="C259" s="630"/>
      <c r="D259" s="630"/>
      <c r="E259" s="630"/>
      <c r="F259" s="630"/>
      <c r="G259" s="196">
        <f t="shared" si="13"/>
      </c>
      <c r="H259" s="630"/>
      <c r="I259" s="630"/>
      <c r="J259" s="630"/>
      <c r="K259" s="373" cm="1">
        <f t="array" ref="K259">IF(AND($D259="",$E259=""),"",INDEX('Teams Master'!$A$2:$A$14,INT((ROW()-2)/20)+1))</f>
      </c>
      <c r="L259" s="373" cm="1">
        <f t="array" ref="L259">IF(AND($D259="",$E259=""),"",INDEX('Teams Master'!$D$2:$D$14,INT((ROW()-2)/20)+1))</f>
      </c>
      <c r="M259" s="196">
        <f t="shared" si="14"/>
      </c>
      <c r="N259" s="196">
        <f t="shared" si="15"/>
      </c>
    </row>
    <row r="260" spans="1:14">
      <c r="A260" s="373" cm="1">
        <f t="array" ref="A260">INDEX('Teams Master'!$C$2:$C$14,INT((ROW()-2)/20)+1)</f>
      </c>
      <c r="B260" s="196">
        <f t="shared" si="12"/>
      </c>
      <c r="C260" s="630"/>
      <c r="D260" s="630"/>
      <c r="E260" s="630"/>
      <c r="F260" s="630"/>
      <c r="G260" s="196">
        <f t="shared" si="13"/>
      </c>
      <c r="H260" s="630"/>
      <c r="I260" s="630"/>
      <c r="J260" s="630"/>
      <c r="K260" s="373" cm="1">
        <f t="array" ref="K260">IF(AND($D260="",$E260=""),"",INDEX('Teams Master'!$A$2:$A$14,INT((ROW()-2)/20)+1))</f>
      </c>
      <c r="L260" s="373" cm="1">
        <f t="array" ref="L260">IF(AND($D260="",$E260=""),"",INDEX('Teams Master'!$D$2:$D$14,INT((ROW()-2)/20)+1))</f>
      </c>
      <c r="M260" s="196">
        <f t="shared" si="14"/>
      </c>
      <c r="N260" s="196">
        <f t="shared" si="15"/>
      </c>
    </row>
    <row r="261" spans="1:14">
      <c r="A261" s="373" cm="1">
        <f t="array" ref="A261">INDEX('Teams Master'!$C$2:$C$14,INT((ROW()-2)/20)+1)</f>
      </c>
      <c r="B261" s="196">
        <f t="shared" si="12"/>
      </c>
      <c r="C261" s="630"/>
      <c r="D261" s="630"/>
      <c r="E261" s="630"/>
      <c r="F261" s="630"/>
      <c r="G261" s="196">
        <f t="shared" si="13"/>
      </c>
      <c r="H261" s="630"/>
      <c r="I261" s="630"/>
      <c r="J261" s="630"/>
      <c r="K261" s="373" cm="1">
        <f t="array" ref="K261">IF(AND($D261="",$E261=""),"",INDEX('Teams Master'!$A$2:$A$14,INT((ROW()-2)/20)+1))</f>
      </c>
      <c r="L261" s="373" cm="1">
        <f t="array" ref="L261">IF(AND($D261="",$E261=""),"",INDEX('Teams Master'!$D$2:$D$14,INT((ROW()-2)/20)+1))</f>
      </c>
      <c r="M261" s="196">
        <f t="shared" si="14"/>
      </c>
      <c r="N261" s="196">
        <f t="shared" si="15"/>
      </c>
    </row>
  </sheetData>
  <dataValidations count="1">
    <dataValidation type="list" allowBlank="1" showInputMessage="1" showErrorMessage="1" sqref="B2:B261" xr:uid="{D55BFC95-D120-489F-BCAA-1D5FED04F592}">
      <formula1>$P$2:$P$3</formula1>
    </dataValidation>
  </dataValidations>
  <pageMargins left="0.7" right="0.7" top="0.75" bottom="0.75" header="0.3" footer="0.3"/>
  <legacy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90F1A-F5E3-438C-8DCD-6E1395D58B4F}">
  <sheetPr>
    <tabColor rgb="FFC5A3DF"/>
  </sheetPr>
  <dimension ref="A1:S31"/>
  <sheetViews>
    <sheetView workbookViewId="0">
      <selection activeCell="F21" sqref="F21"/>
    </sheetView>
  </sheetViews>
  <sheetFormatPr defaultRowHeight="14.4" outlineLevelCol="1"/>
  <cols>
    <col min="1" max="1" width="16.6640625" customWidth="1"/>
    <col min="2" max="2" width="13" customWidth="1"/>
    <col min="3" max="3" width="11.109375" customWidth="1"/>
    <col min="4" max="5" width="20.33203125" customWidth="1"/>
    <col min="6" max="6" width="14.6640625" customWidth="1"/>
    <col min="7" max="7" width="27.6640625" customWidth="1"/>
    <col min="8" max="8" width="25.88671875" customWidth="1"/>
    <col min="9" max="9" width="35.33203125" customWidth="1"/>
    <col min="10" max="10" width="29.6640625" customWidth="1"/>
    <col min="16" max="18" width="8.88671875" outlineLevel="1"/>
  </cols>
  <sheetData>
    <row r="1" spans="1:19" ht="21">
      <c r="A1" s="38" t="s">
        <v>1370</v>
      </c>
    </row>
    <row r="2" spans="1:19">
      <c r="A2" s="233" t="s">
        <v>1371</v>
      </c>
    </row>
    <row r="4" spans="1:19" ht="15.6">
      <c r="A4" s="535" t="s">
        <v>1372</v>
      </c>
      <c r="B4" s="536"/>
      <c r="D4" s="537" t="s">
        <v>1373</v>
      </c>
      <c r="E4" s="322">
        <f>IFERROR(INDEX('Teams Master'!$D$2:$D$14,MATCH($B$4,'Teams Master'!$C$2:$C$14,0)),"")</f>
      </c>
    </row>
    <row r="5" spans="1:19">
      <c r="P5" s="310" t="s">
        <v>1374</v>
      </c>
      <c r="Q5" s="310" t="s">
        <v>528</v>
      </c>
      <c r="R5" s="310" t="s">
        <v>1375</v>
      </c>
      <c r="S5" s="310" t="s">
        <v>1376</v>
      </c>
    </row>
    <row r="6" spans="1:19" ht="15" thickBot="1">
      <c r="A6" s="28" t="s">
        <v>444</v>
      </c>
      <c r="B6" s="28" t="s">
        <v>528</v>
      </c>
      <c r="C6" s="28" t="s">
        <v>1001</v>
      </c>
      <c r="D6" s="28" t="s">
        <v>1002</v>
      </c>
      <c r="E6" s="28" t="s">
        <v>1003</v>
      </c>
      <c r="F6" s="28" t="s">
        <v>1004</v>
      </c>
      <c r="G6" s="28" t="s">
        <v>1005</v>
      </c>
      <c r="H6" s="28" t="s">
        <v>1006</v>
      </c>
      <c r="I6" s="28" t="s">
        <v>525</v>
      </c>
      <c r="J6" s="28" t="s">
        <v>1007</v>
      </c>
      <c r="L6" s="539" t="s">
        <v>1377</v>
      </c>
      <c r="P6" s="322">
        <f>'Teams Master'!C2</f>
      </c>
      <c r="Q6" t="s">
        <v>1015</v>
      </c>
      <c r="R6" t="s">
        <v>1378</v>
      </c>
      <c r="S6" t="s">
        <v>1015</v>
      </c>
    </row>
    <row r="7" spans="1:19">
      <c r="A7" s="544">
        <f>IF(COUNTA(B7:J7)&gt;0,$B$4,"")</f>
      </c>
      <c r="B7" s="540"/>
      <c r="C7" s="541"/>
      <c r="D7" s="540"/>
      <c r="E7" s="540"/>
      <c r="F7" s="540"/>
      <c r="G7" s="540"/>
      <c r="H7" s="540"/>
      <c r="I7" s="540"/>
      <c r="J7" s="547"/>
      <c r="L7" s="317" t="s">
        <v>1379</v>
      </c>
      <c r="P7" s="322">
        <f>'Teams Master'!C3</f>
      </c>
      <c r="Q7" t="s">
        <v>1018</v>
      </c>
      <c r="R7" t="s">
        <v>1380</v>
      </c>
      <c r="S7" t="s">
        <v>1381</v>
      </c>
    </row>
    <row r="8" spans="1:19">
      <c r="A8" s="545">
        <f t="shared" ref="A8:A31" si="0">IF(COUNTA(B8:J8)&gt;0,$B$4,"")</f>
      </c>
      <c r="B8" s="323"/>
      <c r="C8" s="538"/>
      <c r="D8" s="323"/>
      <c r="E8" s="323"/>
      <c r="F8" s="323"/>
      <c r="G8" s="323"/>
      <c r="H8" s="323"/>
      <c r="I8" s="323"/>
      <c r="J8" s="548"/>
      <c r="L8" t="s">
        <v>1382</v>
      </c>
      <c r="P8" s="322">
        <f>'Teams Master'!C4</f>
      </c>
      <c r="R8" t="s">
        <v>1383</v>
      </c>
      <c r="S8" t="s">
        <v>1384</v>
      </c>
    </row>
    <row r="9" spans="1:19">
      <c r="A9" s="545">
        <f t="shared" si="0"/>
      </c>
      <c r="B9" s="323"/>
      <c r="C9" s="538"/>
      <c r="D9" s="323"/>
      <c r="E9" s="323"/>
      <c r="F9" s="323"/>
      <c r="G9" s="323"/>
      <c r="H9" s="323"/>
      <c r="I9" s="323"/>
      <c r="J9" s="548"/>
      <c r="L9" t="s">
        <v>1385</v>
      </c>
      <c r="P9" s="322">
        <f>'Teams Master'!C5</f>
      </c>
      <c r="R9" t="s">
        <v>1386</v>
      </c>
      <c r="S9" t="s">
        <v>1387</v>
      </c>
    </row>
    <row r="10" spans="1:19">
      <c r="A10" s="545">
        <f t="shared" si="0"/>
      </c>
      <c r="B10" s="323"/>
      <c r="C10" s="538"/>
      <c r="D10" s="323"/>
      <c r="E10" s="323"/>
      <c r="F10" s="323"/>
      <c r="G10" s="323"/>
      <c r="H10" s="323"/>
      <c r="I10" s="323"/>
      <c r="J10" s="548"/>
      <c r="L10" t="s">
        <v>1388</v>
      </c>
      <c r="P10" s="322">
        <f>'Teams Master'!C6</f>
      </c>
      <c r="R10" t="s">
        <v>1389</v>
      </c>
      <c r="S10" t="s">
        <v>1390</v>
      </c>
    </row>
    <row r="11" spans="1:19">
      <c r="A11" s="545">
        <f t="shared" si="0"/>
      </c>
      <c r="B11" s="323"/>
      <c r="C11" s="538"/>
      <c r="D11" s="323"/>
      <c r="E11" s="323"/>
      <c r="F11" s="323"/>
      <c r="G11" s="323"/>
      <c r="H11" s="323"/>
      <c r="I11" s="323"/>
      <c r="J11" s="548"/>
      <c r="L11" t="s">
        <v>1391</v>
      </c>
      <c r="P11" s="322">
        <f>'Teams Master'!C7</f>
      </c>
      <c r="R11" t="s">
        <v>1392</v>
      </c>
      <c r="S11" t="s">
        <v>1393</v>
      </c>
    </row>
    <row r="12" spans="1:19">
      <c r="A12" s="545">
        <f t="shared" si="0"/>
      </c>
      <c r="B12" s="323"/>
      <c r="C12" s="538"/>
      <c r="D12" s="323"/>
      <c r="E12" s="323"/>
      <c r="F12" s="323"/>
      <c r="G12" s="323"/>
      <c r="H12" s="323"/>
      <c r="I12" s="323"/>
      <c r="J12" s="548"/>
      <c r="L12" t="s">
        <v>1394</v>
      </c>
      <c r="P12" s="322">
        <f>'Teams Master'!C8</f>
      </c>
      <c r="R12" t="s">
        <v>1395</v>
      </c>
    </row>
    <row r="13" spans="1:19">
      <c r="A13" s="545">
        <f t="shared" si="0"/>
      </c>
      <c r="B13" s="323"/>
      <c r="C13" s="538"/>
      <c r="D13" s="323"/>
      <c r="E13" s="323"/>
      <c r="F13" s="323"/>
      <c r="G13" s="323"/>
      <c r="H13" s="323"/>
      <c r="I13" s="323"/>
      <c r="J13" s="548"/>
      <c r="P13" s="322">
        <f>'Teams Master'!C9</f>
      </c>
    </row>
    <row r="14" spans="1:19">
      <c r="A14" s="545">
        <f t="shared" si="0"/>
      </c>
      <c r="B14" s="323"/>
      <c r="C14" s="538"/>
      <c r="D14" s="323"/>
      <c r="E14" s="323"/>
      <c r="F14" s="323"/>
      <c r="G14" s="323"/>
      <c r="H14" s="323"/>
      <c r="I14" s="323"/>
      <c r="J14" s="548"/>
      <c r="L14" s="25" t="s">
        <v>1396</v>
      </c>
      <c r="P14" s="322">
        <f>'Teams Master'!C10</f>
      </c>
    </row>
    <row r="15" spans="1:19">
      <c r="A15" s="545">
        <f t="shared" si="0"/>
      </c>
      <c r="B15" s="323"/>
      <c r="C15" s="538"/>
      <c r="D15" s="323"/>
      <c r="E15" s="323"/>
      <c r="F15" s="323"/>
      <c r="G15" s="323"/>
      <c r="H15" s="323"/>
      <c r="I15" s="323"/>
      <c r="J15" s="548"/>
      <c r="L15" t="s">
        <v>1397</v>
      </c>
      <c r="P15" s="322">
        <f>'Teams Master'!C11</f>
      </c>
    </row>
    <row r="16" spans="1:19">
      <c r="A16" s="545">
        <f t="shared" si="0"/>
      </c>
      <c r="B16" s="323"/>
      <c r="C16" s="538"/>
      <c r="D16" s="323"/>
      <c r="E16" s="323"/>
      <c r="F16" s="323"/>
      <c r="G16" s="323"/>
      <c r="H16" s="323"/>
      <c r="I16" s="323"/>
      <c r="J16" s="548"/>
      <c r="P16" s="322">
        <f>'Teams Master'!C12</f>
      </c>
    </row>
    <row r="17" spans="1:16">
      <c r="A17" s="545">
        <f t="shared" si="0"/>
      </c>
      <c r="B17" s="323"/>
      <c r="C17" s="538"/>
      <c r="D17" s="323"/>
      <c r="E17" s="323"/>
      <c r="F17" s="323"/>
      <c r="G17" s="323"/>
      <c r="H17" s="323"/>
      <c r="I17" s="323"/>
      <c r="J17" s="548"/>
      <c r="P17" s="322">
        <f>'Teams Master'!C13</f>
      </c>
    </row>
    <row r="18" spans="1:16">
      <c r="A18" s="545">
        <f t="shared" si="0"/>
      </c>
      <c r="B18" s="323"/>
      <c r="C18" s="538"/>
      <c r="D18" s="323"/>
      <c r="E18" s="323"/>
      <c r="F18" s="323"/>
      <c r="G18" s="323"/>
      <c r="H18" s="323"/>
      <c r="I18" s="323"/>
      <c r="J18" s="548"/>
      <c r="P18" s="322">
        <f>'Teams Master'!C14</f>
      </c>
    </row>
    <row r="19" spans="1:16">
      <c r="A19" s="545">
        <f t="shared" si="0"/>
      </c>
      <c r="B19" s="323"/>
      <c r="C19" s="538"/>
      <c r="D19" s="323"/>
      <c r="E19" s="323"/>
      <c r="F19" s="323"/>
      <c r="G19" s="323"/>
      <c r="H19" s="323"/>
      <c r="I19" s="323"/>
      <c r="J19" s="548"/>
    </row>
    <row r="20" spans="1:16">
      <c r="A20" s="545">
        <f t="shared" si="0"/>
      </c>
      <c r="B20" s="323"/>
      <c r="C20" s="538"/>
      <c r="D20" s="323"/>
      <c r="E20" s="323"/>
      <c r="F20" s="323"/>
      <c r="G20" s="323"/>
      <c r="H20" s="323"/>
      <c r="I20" s="323"/>
      <c r="J20" s="548"/>
    </row>
    <row r="21" spans="1:16">
      <c r="A21" s="545">
        <f t="shared" si="0"/>
      </c>
      <c r="B21" s="323"/>
      <c r="C21" s="538"/>
      <c r="D21" s="323"/>
      <c r="E21" s="323"/>
      <c r="F21" s="323"/>
      <c r="G21" s="323"/>
      <c r="H21" s="323"/>
      <c r="I21" s="323"/>
      <c r="J21" s="548"/>
    </row>
    <row r="22" spans="1:16">
      <c r="A22" s="545">
        <f t="shared" si="0"/>
      </c>
      <c r="B22" s="323"/>
      <c r="C22" s="538"/>
      <c r="D22" s="323"/>
      <c r="E22" s="323"/>
      <c r="F22" s="323"/>
      <c r="G22" s="323"/>
      <c r="H22" s="323"/>
      <c r="I22" s="323"/>
      <c r="J22" s="548"/>
    </row>
    <row r="23" spans="1:16">
      <c r="A23" s="545">
        <f t="shared" si="0"/>
      </c>
      <c r="B23" s="323"/>
      <c r="C23" s="538"/>
      <c r="D23" s="323"/>
      <c r="E23" s="323"/>
      <c r="F23" s="323"/>
      <c r="G23" s="323"/>
      <c r="H23" s="323"/>
      <c r="I23" s="323"/>
      <c r="J23" s="548"/>
    </row>
    <row r="24" spans="1:16">
      <c r="A24" s="545">
        <f t="shared" si="0"/>
      </c>
      <c r="B24" s="323"/>
      <c r="C24" s="538"/>
      <c r="D24" s="323"/>
      <c r="E24" s="323"/>
      <c r="F24" s="323"/>
      <c r="G24" s="323"/>
      <c r="H24" s="323"/>
      <c r="I24" s="323"/>
      <c r="J24" s="548"/>
    </row>
    <row r="25" spans="1:16">
      <c r="A25" s="545">
        <f t="shared" si="0"/>
      </c>
      <c r="B25" s="323"/>
      <c r="C25" s="538"/>
      <c r="D25" s="323"/>
      <c r="E25" s="323"/>
      <c r="F25" s="323"/>
      <c r="G25" s="323"/>
      <c r="H25" s="323"/>
      <c r="I25" s="323"/>
      <c r="J25" s="548"/>
    </row>
    <row r="26" spans="1:16">
      <c r="A26" s="545">
        <f t="shared" si="0"/>
      </c>
      <c r="B26" s="323"/>
      <c r="C26" s="538"/>
      <c r="D26" s="323"/>
      <c r="E26" s="323"/>
      <c r="F26" s="323"/>
      <c r="G26" s="323"/>
      <c r="H26" s="323"/>
      <c r="I26" s="323"/>
      <c r="J26" s="548"/>
    </row>
    <row r="27" spans="1:16">
      <c r="A27" s="545">
        <f t="shared" si="0"/>
      </c>
      <c r="B27" s="323"/>
      <c r="C27" s="538"/>
      <c r="D27" s="323"/>
      <c r="E27" s="323"/>
      <c r="F27" s="323"/>
      <c r="G27" s="323"/>
      <c r="H27" s="323"/>
      <c r="I27" s="323"/>
      <c r="J27" s="548"/>
    </row>
    <row r="28" spans="1:16">
      <c r="A28" s="545">
        <f t="shared" si="0"/>
      </c>
      <c r="B28" s="323"/>
      <c r="C28" s="538"/>
      <c r="D28" s="323"/>
      <c r="E28" s="323"/>
      <c r="F28" s="323"/>
      <c r="G28" s="323"/>
      <c r="H28" s="323"/>
      <c r="I28" s="323"/>
      <c r="J28" s="548"/>
    </row>
    <row r="29" spans="1:16">
      <c r="A29" s="545">
        <f t="shared" si="0"/>
      </c>
      <c r="B29" s="323"/>
      <c r="C29" s="538"/>
      <c r="D29" s="323"/>
      <c r="E29" s="323"/>
      <c r="F29" s="323"/>
      <c r="G29" s="323"/>
      <c r="H29" s="323"/>
      <c r="I29" s="323"/>
      <c r="J29" s="548"/>
    </row>
    <row r="30" spans="1:16">
      <c r="A30" s="545">
        <f t="shared" si="0"/>
      </c>
      <c r="B30" s="323"/>
      <c r="C30" s="538"/>
      <c r="D30" s="323"/>
      <c r="E30" s="323"/>
      <c r="F30" s="323"/>
      <c r="G30" s="323"/>
      <c r="H30" s="323"/>
      <c r="I30" s="323"/>
      <c r="J30" s="548"/>
    </row>
    <row r="31" spans="1:16" ht="15" thickBot="1">
      <c r="A31" s="546">
        <f t="shared" si="0"/>
      </c>
      <c r="B31" s="542"/>
      <c r="C31" s="543"/>
      <c r="D31" s="542"/>
      <c r="E31" s="542"/>
      <c r="F31" s="542"/>
      <c r="G31" s="542"/>
      <c r="H31" s="542"/>
      <c r="I31" s="542"/>
      <c r="J31" s="549"/>
    </row>
  </sheetData>
  <dataValidations count="4">
    <dataValidation type="list" allowBlank="1" showInputMessage="1" showErrorMessage="1" sqref="B4" xr:uid="{A62A737B-3C84-4EC5-884B-C8D523E08BD6}">
      <formula1>$P$6:$P$18</formula1>
    </dataValidation>
    <dataValidation type="list" allowBlank="1" showInputMessage="1" showErrorMessage="1" sqref="B7:B31" xr:uid="{F7669E9A-8804-41DA-9F4B-34DFC52B1EAE}">
      <formula1>$Q$6:$Q$7</formula1>
    </dataValidation>
    <dataValidation type="list" allowBlank="1" showInputMessage="1" showErrorMessage="1" sqref="F7:F31" xr:uid="{E22816B8-D8AD-4E0B-A526-F7E602976C47}">
      <formula1>$R$6:$R$12</formula1>
    </dataValidation>
    <dataValidation type="list" allowBlank="1" showInputMessage="1" showErrorMessage="1" sqref="G7:G31" xr:uid="{594E8C3C-A468-4B3C-8802-CAEB4A8EC45E}">
      <formula1>$S$6:$S$11</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17EB6-8C56-4360-BF6A-67AD2A0B0E91}">
  <sheetPr>
    <tabColor rgb="FFC00000"/>
  </sheetPr>
  <dimension ref="A1"/>
  <sheetViews>
    <sheetView workbookViewId="0"/>
  </sheetViews>
  <sheetFormatPr defaultRowHeight="14.4"/>
  <sheetData>
    <row r="1" spans="1:1" ht="23.4">
      <c r="A1" s="156" t="s">
        <v>45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DAE13-3032-4852-8D31-0A400BF765CA}">
  <sheetPr>
    <tabColor rgb="FFFF9B9B"/>
  </sheetPr>
  <dimension ref="A1:H19"/>
  <sheetViews>
    <sheetView workbookViewId="0">
      <selection activeCell="G8" sqref="G8"/>
    </sheetView>
  </sheetViews>
  <sheetFormatPr defaultRowHeight="14.4"/>
  <cols>
    <col min="1" max="1" width="5.33203125" bestFit="1" customWidth="1"/>
    <col min="2" max="2" width="22.88671875" bestFit="1" customWidth="1"/>
    <col min="3" max="3" width="22" bestFit="1" customWidth="1"/>
    <col min="4" max="4" width="10.33203125" bestFit="1" customWidth="1"/>
    <col min="5" max="5" width="14.109375" bestFit="1" customWidth="1"/>
    <col min="6" max="6" width="16.6640625" bestFit="1" customWidth="1"/>
    <col min="7" max="7" width="20.33203125" bestFit="1" customWidth="1"/>
    <col min="8" max="8" width="11.6640625" bestFit="1" customWidth="1"/>
    <col min="9" max="9" width="5.33203125" bestFit="1" customWidth="1"/>
    <col min="10" max="10" width="10.88671875" bestFit="1" customWidth="1"/>
    <col min="11" max="11" width="5.33203125" bestFit="1" customWidth="1"/>
  </cols>
  <sheetData>
    <row r="1" spans="1:8" ht="23.4">
      <c r="A1" s="836" t="s">
        <v>1398</v>
      </c>
      <c r="B1" s="837"/>
      <c r="C1" s="837"/>
      <c r="D1" s="837"/>
      <c r="E1" s="837"/>
      <c r="F1" s="837"/>
      <c r="G1" s="837"/>
      <c r="H1" s="837"/>
    </row>
    <row r="2" spans="1:8">
      <c r="A2" s="838" t="s">
        <v>1399</v>
      </c>
      <c r="B2" s="837"/>
      <c r="C2" s="837"/>
      <c r="D2" s="837"/>
      <c r="E2" s="837"/>
      <c r="F2" s="837"/>
      <c r="G2" s="837"/>
      <c r="H2" s="837"/>
    </row>
    <row r="4" spans="1:8" ht="18">
      <c r="A4" s="839" t="s">
        <v>1400</v>
      </c>
      <c r="B4" s="837"/>
      <c r="C4" s="837"/>
      <c r="D4" s="837"/>
      <c r="F4" s="840" t="s">
        <v>1401</v>
      </c>
      <c r="G4" s="837"/>
      <c r="H4" s="837"/>
    </row>
    <row r="5" spans="1:8">
      <c r="A5" s="259" t="s">
        <v>1402</v>
      </c>
      <c r="B5" s="259" t="s">
        <v>1403</v>
      </c>
      <c r="C5" s="259" t="s">
        <v>444</v>
      </c>
      <c r="D5" s="259" t="s">
        <v>1404</v>
      </c>
      <c r="F5" s="259" t="s">
        <v>1405</v>
      </c>
      <c r="G5" s="259" t="s">
        <v>1406</v>
      </c>
      <c r="H5" s="259" t="s">
        <v>1407</v>
      </c>
    </row>
    <row r="6" spans="1:8">
      <c r="A6" s="377">
        <v>1</v>
      </c>
      <c r="B6" s="376" cm="1">
        <f t="array" ref="B6">IFERROR(_xlfn.LET(_xlpm.d,_xlfn._xlws.FILTER('Individuals Stats Men'!$B$3:$K$130,('Individuals Stats Men'!$B$3:$B$130&lt;&gt;"")*('Individuals Stats Men'!$K$3:$K$130&gt;0)),_xlpm.s,_xlfn._xlws.SORT(_xlpm.d,10,-1),INDEX(_xlpm.s,1,4)&amp;" "&amp;INDEX(_xlpm.s,1,5)),"")</f>
      </c>
      <c r="C6" s="376" cm="1">
        <f t="array" ref="C6">IFERROR(_xlfn.LET(_xlpm.d,_xlfn._xlws.FILTER('Individuals Stats Men'!$B$3:$K$130,('Individuals Stats Men'!$B$3:$B$130&lt;&gt;"")*('Individuals Stats Men'!$K$3:$K$130&gt;0)),_xlpm.s,_xlfn._xlws.SORT(_xlpm.d,10,-1),INDEX(_xlpm.s,1,1)),"")</f>
      </c>
      <c r="D6" s="376" cm="1">
        <f t="array" ref="D6">IFERROR(_xlfn.LET(_xlpm.d,_xlfn._xlws.FILTER('Individuals Stats Men'!$B$3:$K$130,('Individuals Stats Men'!$B$3:$B$130&lt;&gt;"")*('Individuals Stats Men'!$K$3:$K$130&gt;0)),_xlpm.s,_xlfn._xlws.SORT(_xlpm.d,10,-1),INDEX(_xlpm.s,1,10)),"")</f>
      </c>
      <c r="F6" s="260" t="s">
        <v>1408</v>
      </c>
      <c r="G6" s="375">
        <f>B6</f>
      </c>
      <c r="H6" s="375">
        <f>D6&amp;" goals"</f>
      </c>
    </row>
    <row r="7" spans="1:8">
      <c r="A7" s="319">
        <v>2</v>
      </c>
      <c r="B7" s="322" cm="1">
        <f t="array" ref="B7">IFERROR(_xlfn.LET(_xlpm.d,_xlfn._xlws.FILTER('Individuals Stats Men'!$B$3:$K$130,('Individuals Stats Men'!$B$3:$B$130&lt;&gt;"")*('Individuals Stats Men'!$K$3:$K$130&gt;0)),_xlpm.s,_xlfn._xlws.SORT(_xlpm.d,10,-1),INDEX(_xlpm.s,2,4)&amp;" "&amp;INDEX(_xlpm.s,2,5)),"")</f>
      </c>
      <c r="C7" s="322" cm="1">
        <f t="array" ref="C7">IFERROR(_xlfn.LET(_xlpm.d,_xlfn._xlws.FILTER('Individuals Stats Men'!$B$3:$K$130,('Individuals Stats Men'!$B$3:$B$130&lt;&gt;"")*('Individuals Stats Men'!$K$3:$K$130&gt;0)),_xlpm.s,_xlfn._xlws.SORT(_xlpm.d,10,-1),INDEX(_xlpm.s,2,1)),"")</f>
      </c>
      <c r="D7" s="322" cm="1">
        <f t="array" ref="D7">IFERROR(_xlfn.LET(_xlpm.d,_xlfn._xlws.FILTER('Individuals Stats Men'!$B$3:$K$130,('Individuals Stats Men'!$B$3:$B$130&lt;&gt;"")*('Individuals Stats Men'!$K$3:$K$130&gt;0)),_xlpm.s,_xlfn._xlws.SORT(_xlpm.d,10,-1),INDEX(_xlpm.s,2,10)),"")</f>
      </c>
      <c r="F7" s="260" t="s">
        <v>1409</v>
      </c>
      <c r="G7" s="375">
        <f>B15</f>
      </c>
      <c r="H7" s="375">
        <f>D15&amp;" goals"</f>
      </c>
    </row>
    <row r="8" spans="1:8">
      <c r="A8" s="319">
        <v>3</v>
      </c>
      <c r="B8" s="322" cm="1">
        <f t="array" ref="B8">IFERROR(_xlfn.LET(_xlpm.d,_xlfn._xlws.FILTER('Individuals Stats Men'!$B$3:$K$130,('Individuals Stats Men'!$B$3:$B$130&lt;&gt;"")*('Individuals Stats Men'!$K$3:$K$130&gt;0)),_xlpm.s,_xlfn._xlws.SORT(_xlpm.d,10,-1),INDEX(_xlpm.s,3,4)&amp;" "&amp;INDEX(_xlpm.s,3,5)),"")</f>
      </c>
      <c r="C8" s="322" cm="1">
        <f t="array" ref="C8">IFERROR(_xlfn.LET(_xlpm.d,_xlfn._xlws.FILTER('Individuals Stats Men'!$B$3:$K$130,('Individuals Stats Men'!$B$3:$B$130&lt;&gt;"")*('Individuals Stats Men'!$K$3:$K$130&gt;0)),_xlpm.s,_xlfn._xlws.SORT(_xlpm.d,10,-1),INDEX(_xlpm.s,3,1)),"")</f>
      </c>
      <c r="D8" s="322" cm="1">
        <f t="array" ref="D8">IFERROR(_xlfn.LET(_xlpm.d,_xlfn._xlws.FILTER('Individuals Stats Men'!$B$3:$K$130,('Individuals Stats Men'!$B$3:$B$130&lt;&gt;"")*('Individuals Stats Men'!$K$3:$K$130&gt;0)),_xlpm.s,_xlfn._xlws.SORT(_xlpm.d,10,-1),INDEX(_xlpm.s,3,10)),"")</f>
      </c>
      <c r="F8" t="s">
        <v>1410</v>
      </c>
      <c r="G8" s="322">
        <f>IFERROR(IF('MVP Voting'!B102&lt;&gt;"", 'MVP Voting'!B102 &amp; " (" &amp; 'MVP Voting'!C102 &amp; ")", "No votes yet"),"No votes yet")</f>
      </c>
      <c r="H8" s="322">
        <f>IFERROR(IF('MVP Voting'!D102&lt;&gt;"", 'MVP Voting'!D102 &amp; " pts", ""),"")</f>
      </c>
    </row>
    <row r="9" spans="1:8">
      <c r="A9" s="319">
        <v>4</v>
      </c>
      <c r="B9" s="322" cm="1">
        <f t="array" ref="B9">IFERROR(_xlfn.LET(_xlpm.d,_xlfn._xlws.FILTER('Individuals Stats Men'!$B$3:$K$130,('Individuals Stats Men'!$B$3:$B$130&lt;&gt;"")*('Individuals Stats Men'!$K$3:$K$130&gt;0)),_xlpm.s,_xlfn._xlws.SORT(_xlpm.d,10,-1),INDEX(_xlpm.s,4,4)&amp;" "&amp;INDEX(_xlpm.s,4,5)),"")</f>
      </c>
      <c r="C9" s="322" cm="1">
        <f t="array" ref="C9">IFERROR(_xlfn.LET(_xlpm.d,_xlfn._xlws.FILTER('Individuals Stats Men'!$B$3:$K$130,('Individuals Stats Men'!$B$3:$B$130&lt;&gt;"")*('Individuals Stats Men'!$K$3:$K$130&gt;0)),_xlpm.s,_xlfn._xlws.SORT(_xlpm.d,10,-1),INDEX(_xlpm.s,4,1)),"")</f>
      </c>
      <c r="D9" s="322" cm="1">
        <f t="array" ref="D9">IFERROR(_xlfn.LET(_xlpm.d,_xlfn._xlws.FILTER('Individuals Stats Men'!$B$3:$K$130,('Individuals Stats Men'!$B$3:$B$130&lt;&gt;"")*('Individuals Stats Men'!$K$3:$K$130&gt;0)),_xlpm.s,_xlfn._xlws.SORT(_xlpm.d,10,-1),INDEX(_xlpm.s,4,10)),"")</f>
      </c>
      <c r="F9" t="s">
        <v>1411</v>
      </c>
      <c r="G9" s="322">
        <f>IFERROR(IF('MVP Voting'!B103&lt;&gt;"", 'MVP Voting'!B103 &amp; " (" &amp; 'MVP Voting'!C103 &amp; ")", "No votes yet"),"No votes yet")</f>
      </c>
      <c r="H9">
        <f>IFERROR(IF('MVP Voting'!D103&lt;&gt;"", 'MVP Voting'!D103 &amp; " pts", ""),"")</f>
      </c>
    </row>
    <row r="10" spans="1:8">
      <c r="A10" s="319">
        <v>5</v>
      </c>
      <c r="B10" s="322" cm="1">
        <f t="array" ref="B10">IFERROR(_xlfn.LET(_xlpm.d,_xlfn._xlws.FILTER('Individuals Stats Men'!$B$3:$K$130,('Individuals Stats Men'!$B$3:$B$130&lt;&gt;"")*('Individuals Stats Men'!$K$3:$K$130&gt;0)),_xlpm.s,_xlfn._xlws.SORT(_xlpm.d,10,-1),INDEX(_xlpm.s,5,4)&amp;" "&amp;INDEX(_xlpm.s,5,5)),"")</f>
      </c>
      <c r="C10" s="322" cm="1">
        <f t="array" ref="C10">IFERROR(_xlfn.LET(_xlpm.d,_xlfn._xlws.FILTER('Individuals Stats Men'!$B$3:$K$130,('Individuals Stats Men'!$B$3:$B$130&lt;&gt;"")*('Individuals Stats Men'!$K$3:$K$130&gt;0)),_xlpm.s,_xlfn._xlws.SORT(_xlpm.d,10,-1),INDEX(_xlpm.s,5,1)),"")</f>
      </c>
      <c r="D10" s="322" cm="1">
        <f t="array" ref="D10">IFERROR(_xlfn.LET(_xlpm.d,_xlfn._xlws.FILTER('Individuals Stats Men'!$B$3:$K$130,('Individuals Stats Men'!$B$3:$B$130&lt;&gt;"")*('Individuals Stats Men'!$K$3:$K$130&gt;0)),_xlpm.s,_xlfn._xlws.SORT(_xlpm.d,10,-1),INDEX(_xlpm.s,5,10)),"")</f>
      </c>
      <c r="F10" t="s">
        <v>1412</v>
      </c>
      <c r="G10" s="322">
        <f>IFERROR(IF('MVP Voting'!B104&lt;&gt;"", 'MVP Voting'!B104 &amp; " (" &amp; 'MVP Voting'!C104 &amp; ")", "No votes yet"),"No votes yet")</f>
      </c>
      <c r="H10">
        <f>IFERROR(IF('MVP Voting'!D104&lt;&gt;"", 'MVP Voting'!D104 &amp; " pts", ""),"")</f>
      </c>
    </row>
    <row r="11" spans="1:8">
      <c r="F11" t="s">
        <v>1413</v>
      </c>
      <c r="G11" s="322">
        <f>IFERROR(IF('MVP Voting'!B105&lt;&gt;"", 'MVP Voting'!B105 &amp; " (" &amp; 'MVP Voting'!C105 &amp; ")", "No votes yet"),"No votes yet")</f>
      </c>
      <c r="H11">
        <f>IFERROR(IF('MVP Voting'!D105&lt;&gt;"", 'MVP Voting'!D105 &amp; " pts", ""),"")</f>
      </c>
    </row>
    <row r="13" spans="1:8" ht="18">
      <c r="A13" s="839" t="s">
        <v>1414</v>
      </c>
      <c r="B13" s="837"/>
      <c r="C13" s="837"/>
      <c r="D13" s="837"/>
    </row>
    <row r="14" spans="1:8">
      <c r="A14" s="259" t="s">
        <v>1402</v>
      </c>
      <c r="B14" s="259" t="s">
        <v>1403</v>
      </c>
      <c r="C14" s="259" t="s">
        <v>444</v>
      </c>
      <c r="D14" s="259" t="s">
        <v>1404</v>
      </c>
    </row>
    <row r="15" spans="1:8">
      <c r="A15" s="377">
        <v>1</v>
      </c>
      <c r="B15" s="376" cm="1">
        <f t="array" ref="B15">IFERROR(_xlfn.LET(_xlpm.d,_xlfn._xlws.FILTER('Individuals Stats Women'!$B$3:$L$74,('Individuals Stats Women'!$B$3:$B$74&lt;&gt;"")*('Individuals Stats Women'!$L$3:$L$74&gt;0)),_xlpm.s,_xlfn._xlws.SORT(_xlpm.d,11,-1),INDEX(_xlpm.s,1,4)&amp;" "&amp;INDEX(_xlpm.s,1,5)),"")</f>
      </c>
      <c r="C15" s="376" cm="1">
        <f t="array" ref="C15">IFERROR(_xlfn.LET(_xlpm.d,_xlfn._xlws.FILTER('Individuals Stats Women'!$B$3:$L$74,('Individuals Stats Women'!$B$3:$B$74&lt;&gt;"")*('Individuals Stats Women'!$L$3:$L$74&gt;0)),_xlpm.s,_xlfn._xlws.SORT(_xlpm.d,11,-1),INDEX(_xlpm.s,1,1)),"")</f>
      </c>
      <c r="D15" s="376" cm="1">
        <f t="array" ref="D15">IFERROR(_xlfn.LET(_xlpm.d,_xlfn._xlws.FILTER('Individuals Stats Women'!$B$3:$L$74,('Individuals Stats Women'!$B$3:$B$74&lt;&gt;"")*('Individuals Stats Women'!$L$3:$L$74&gt;0)),_xlpm.s,_xlfn._xlws.SORT(_xlpm.d,11,-1),INDEX(_xlpm.s,1,11)),"")</f>
      </c>
    </row>
    <row r="16" spans="1:8">
      <c r="A16" s="319">
        <v>2</v>
      </c>
      <c r="B16" s="322" cm="1">
        <f t="array" ref="B16">IFERROR(_xlfn.LET(_xlpm.d,_xlfn._xlws.FILTER('Individuals Stats Women'!$B$3:$L$74,('Individuals Stats Women'!$B$3:$B$74&lt;&gt;"")*('Individuals Stats Women'!$L$3:$L$74&gt;0)),_xlpm.s,_xlfn._xlws.SORT(_xlpm.d,11,-1),INDEX(_xlpm.s,2,4)&amp;" "&amp;INDEX(_xlpm.s,2,5)),"")</f>
      </c>
      <c r="C16" s="322" cm="1">
        <f t="array" ref="C16">IFERROR(_xlfn.LET(_xlpm.d,_xlfn._xlws.FILTER('Individuals Stats Women'!$B$3:$L$74,('Individuals Stats Women'!$B$3:$B$74&lt;&gt;"")*('Individuals Stats Women'!$L$3:$L$74&gt;0)),_xlpm.s,_xlfn._xlws.SORT(_xlpm.d,11,-1),INDEX(_xlpm.s,2,1)),"")</f>
      </c>
      <c r="D16" s="322" cm="1">
        <f t="array" ref="D16">IFERROR(_xlfn.LET(_xlpm.d,_xlfn._xlws.FILTER('Individuals Stats Women'!$B$3:$L$74,('Individuals Stats Women'!$B$3:$B$74&lt;&gt;"")*('Individuals Stats Women'!$L$3:$L$74&gt;0)),_xlpm.s,_xlfn._xlws.SORT(_xlpm.d,11,-1),INDEX(_xlpm.s,2,11)),"")</f>
      </c>
    </row>
    <row r="17" spans="1:4">
      <c r="A17" s="319">
        <v>3</v>
      </c>
      <c r="B17" s="322" cm="1">
        <f t="array" ref="B17">IFERROR(_xlfn.LET(_xlpm.d,_xlfn._xlws.FILTER('Individuals Stats Women'!$B$3:$L$74,('Individuals Stats Women'!$B$3:$B$74&lt;&gt;"")*('Individuals Stats Women'!$L$3:$L$74&gt;0)),_xlpm.s,_xlfn._xlws.SORT(_xlpm.d,11,-1),INDEX(_xlpm.s,3,4)&amp;" "&amp;INDEX(_xlpm.s,3,5)),"")</f>
      </c>
      <c r="C17" s="322" cm="1">
        <f t="array" ref="C17">IFERROR(_xlfn.LET(_xlpm.d,_xlfn._xlws.FILTER('Individuals Stats Women'!$B$3:$L$74,('Individuals Stats Women'!$B$3:$B$74&lt;&gt;"")*('Individuals Stats Women'!$L$3:$L$74&gt;0)),_xlpm.s,_xlfn._xlws.SORT(_xlpm.d,11,-1),INDEX(_xlpm.s,3,1)),"")</f>
      </c>
      <c r="D17" s="322" cm="1">
        <f t="array" ref="D17">IFERROR(_xlfn.LET(_xlpm.d,_xlfn._xlws.FILTER('Individuals Stats Women'!$B$3:$L$74,('Individuals Stats Women'!$B$3:$B$74&lt;&gt;"")*('Individuals Stats Women'!$L$3:$L$74&gt;0)),_xlpm.s,_xlfn._xlws.SORT(_xlpm.d,11,-1),INDEX(_xlpm.s,3,11)),"")</f>
      </c>
    </row>
    <row r="18" spans="1:4">
      <c r="A18" s="319">
        <v>4</v>
      </c>
      <c r="B18" s="322" cm="1">
        <f t="array" ref="B18">IFERROR(_xlfn.LET(_xlpm.d,_xlfn._xlws.FILTER('Individuals Stats Women'!$B$3:$L$74,('Individuals Stats Women'!$B$3:$B$74&lt;&gt;"")*('Individuals Stats Women'!$L$3:$L$74&gt;0)),_xlpm.s,_xlfn._xlws.SORT(_xlpm.d,11,-1),INDEX(_xlpm.s,4,4)&amp;" "&amp;INDEX(_xlpm.s,4,5)),"")</f>
      </c>
      <c r="C18" s="322" cm="1">
        <f t="array" ref="C18">IFERROR(_xlfn.LET(_xlpm.d,_xlfn._xlws.FILTER('Individuals Stats Women'!$B$3:$L$74,('Individuals Stats Women'!$B$3:$B$74&lt;&gt;"")*('Individuals Stats Women'!$L$3:$L$74&gt;0)),_xlpm.s,_xlfn._xlws.SORT(_xlpm.d,11,-1),INDEX(_xlpm.s,4,1)),"")</f>
      </c>
      <c r="D18" s="322" cm="1">
        <f t="array" ref="D18">IFERROR(_xlfn.LET(_xlpm.d,_xlfn._xlws.FILTER('Individuals Stats Women'!$B$3:$L$74,('Individuals Stats Women'!$B$3:$B$74&lt;&gt;"")*('Individuals Stats Women'!$L$3:$L$74&gt;0)),_xlpm.s,_xlfn._xlws.SORT(_xlpm.d,11,-1),INDEX(_xlpm.s,4,11)),"")</f>
      </c>
    </row>
    <row r="19" spans="1:4">
      <c r="A19" s="319">
        <v>5</v>
      </c>
      <c r="B19" s="322" cm="1">
        <f t="array" ref="B19">IFERROR(_xlfn.LET(_xlpm.d,_xlfn._xlws.FILTER('Individuals Stats Women'!$B$3:$L$74,('Individuals Stats Women'!$B$3:$B$74&lt;&gt;"")*('Individuals Stats Women'!$L$3:$L$74&gt;0)),_xlpm.s,_xlfn._xlws.SORT(_xlpm.d,11,-1),INDEX(_xlpm.s,5,4)&amp;" "&amp;INDEX(_xlpm.s,5,5)),"")</f>
      </c>
      <c r="C19" s="322" cm="1">
        <f t="array" ref="C19">IFERROR(_xlfn.LET(_xlpm.d,_xlfn._xlws.FILTER('Individuals Stats Women'!$B$3:$L$74,('Individuals Stats Women'!$B$3:$B$74&lt;&gt;"")*('Individuals Stats Women'!$L$3:$L$74&gt;0)),_xlpm.s,_xlfn._xlws.SORT(_xlpm.d,11,-1),INDEX(_xlpm.s,5,1)),"")</f>
      </c>
      <c r="D19" s="322" cm="1">
        <f t="array" ref="D19">IFERROR(_xlfn.LET(_xlpm.d,_xlfn._xlws.FILTER('Individuals Stats Women'!$B$3:$L$74,('Individuals Stats Women'!$B$3:$B$74&lt;&gt;"")*('Individuals Stats Women'!$L$3:$L$74&gt;0)),_xlpm.s,_xlfn._xlws.SORT(_xlpm.d,11,-1),INDEX(_xlpm.s,5,11)),"")</f>
      </c>
    </row>
  </sheetData>
  <mergeCells count="5">
    <mergeCell ref="A1:H1"/>
    <mergeCell ref="A2:H2"/>
    <mergeCell ref="A4:D4"/>
    <mergeCell ref="A13:D13"/>
    <mergeCell ref="F4:H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5B242-D493-417F-AE25-39F279D49773}">
  <sheetPr>
    <tabColor rgb="FFFF9B9B"/>
    <pageSetUpPr fitToPage="1"/>
  </sheetPr>
  <dimension ref="A1:P131"/>
  <sheetViews>
    <sheetView showGridLines="0" workbookViewId="0">
      <pane xSplit="6" ySplit="2" topLeftCell="I3" activePane="bottomRight" state="frozen"/>
      <selection pane="topRight" activeCell="AE18" sqref="AE18"/>
      <selection pane="bottomLeft" activeCell="AE18" sqref="AE18"/>
      <selection pane="bottomRight" activeCell="J7" sqref="J7"/>
    </sheetView>
  </sheetViews>
  <sheetFormatPr defaultRowHeight="14.4"/>
  <cols>
    <col min="1" max="1" width="8.88671875" style="70"/>
    <col min="2" max="2" width="18.5546875" style="70" customWidth="1"/>
    <col min="3" max="3" width="18.5546875" style="71" customWidth="1"/>
    <col min="4" max="4" width="9.88671875" style="70" customWidth="1"/>
    <col min="5" max="5" width="14.5546875" style="70" customWidth="1"/>
    <col min="6" max="6" width="16.5546875" style="70" bestFit="1" customWidth="1"/>
    <col min="7" max="7" width="10" style="70" customWidth="1"/>
    <col min="8" max="8" width="10.6640625" style="70" customWidth="1"/>
    <col min="9" max="10" width="10.44140625" style="70" customWidth="1"/>
    <col min="11" max="11" width="13.109375" style="70" customWidth="1"/>
    <col min="12" max="12" width="8.88671875" style="70"/>
    <col min="14" max="14" width="17.5546875" customWidth="1"/>
    <col min="15" max="15" width="25.88671875" customWidth="1"/>
    <col min="16" max="16" width="13" customWidth="1"/>
  </cols>
  <sheetData>
    <row r="1" spans="2:16" ht="15.6" customHeight="1">
      <c r="B1" s="840" t="s">
        <v>1415</v>
      </c>
      <c r="C1" s="841"/>
      <c r="D1" s="841"/>
      <c r="E1" s="841"/>
      <c r="F1" s="841"/>
      <c r="G1" s="841"/>
      <c r="H1" s="841"/>
      <c r="I1" s="841"/>
      <c r="J1" s="841"/>
      <c r="K1" s="841"/>
      <c r="L1" s="841"/>
    </row>
    <row r="2" spans="2:16">
      <c r="B2" s="273" t="s">
        <v>444</v>
      </c>
      <c r="C2" s="274" t="s">
        <v>1004</v>
      </c>
      <c r="D2" s="273" t="s">
        <v>1416</v>
      </c>
      <c r="E2" s="273" t="s">
        <v>1002</v>
      </c>
      <c r="F2" s="273" t="s">
        <v>1003</v>
      </c>
      <c r="G2" s="273" t="s">
        <v>1417</v>
      </c>
      <c r="H2" s="273" t="s">
        <v>1418</v>
      </c>
      <c r="I2" s="273" t="s">
        <v>1419</v>
      </c>
      <c r="J2" s="273" t="s">
        <v>1420</v>
      </c>
      <c r="K2" s="273" t="s">
        <v>1404</v>
      </c>
      <c r="L2" s="274" t="s">
        <v>1402</v>
      </c>
      <c r="N2" s="273" t="s">
        <v>1421</v>
      </c>
    </row>
    <row r="3" spans="2:16">
      <c r="B3" s="470" cm="1">
        <f t="array" ref="B3">IFERROR(_xlfn._xlws.SORT(_xlfn.HSTACK(_xlfn._xlws.FILTER(RostersMaster[Team],(RostersMaster[Type]="Player")*(RostersMaster[Division]="Men")),_xlfn._xlws.FILTER(RostersMaster[Position],(RostersMaster[Type]="Player")*(RostersMaster[Division]="Men")),_xlfn._xlws.FILTER(RostersMaster[Jersey],(RostersMaster[Type]="Player")*(RostersMaster[Division]="Men")),_xlfn._xlws.FILTER(RostersMaster[First Name],(RostersMaster[Type]="Player")*(RostersMaster[Division]="Men")),_xlfn._xlws.FILTER(RostersMaster[Last Name],(RostersMaster[Type]="Player")*(RostersMaster[Division]="Men"))),{1,3},{1,1}),"")</f>
      </c>
      <c r="C3" s="456"/>
      <c r="D3" s="456"/>
      <c r="E3" s="472"/>
      <c r="F3" s="472"/>
      <c r="G3" s="456">
        <v>0</v>
      </c>
      <c r="H3" s="456"/>
      <c r="I3" s="456"/>
      <c r="J3" s="456"/>
      <c r="K3" s="457">
        <f>IF($B3="","",SUM($G3:$J3))</f>
      </c>
      <c r="L3" s="458">
        <f>IF($B3="","",RANK($K3,$K$3:$K$130))</f>
      </c>
      <c r="N3" s="310" t="s">
        <v>1422</v>
      </c>
      <c r="O3" s="322">
        <f>IFERROR(INDEX(Rankings!$B$3:$B$13,MATCH(MAX(Rankings!$D$3:$D$6,Rankings!$D$10:$D$13),Rankings!$D$3:$D$13,0)),"")</f>
      </c>
      <c r="P3" s="322">
        <f>MAX(Rankings!$D$3:$D$6,Rankings!$D$10:$D$13)&amp;" GF"</f>
      </c>
    </row>
    <row r="4" spans="2:16">
      <c r="B4" s="473"/>
      <c r="C4" s="463"/>
      <c r="D4" s="463"/>
      <c r="E4" s="475"/>
      <c r="F4" s="475"/>
      <c r="G4" s="463">
        <v>1</v>
      </c>
      <c r="H4" s="463"/>
      <c r="I4" s="463"/>
      <c r="J4" s="463"/>
      <c r="K4" s="464">
        <f t="shared" ref="K4:K67" si="0">IF($B4="","",SUM($G4:$J4))</f>
      </c>
      <c r="L4" s="465">
        <f t="shared" ref="L4:L67" si="1">IF($B4="","",RANK($K4,$K$3:$K$130))</f>
      </c>
      <c r="N4" s="310" t="s">
        <v>1423</v>
      </c>
      <c r="O4" s="322">
        <f>IFERROR(INDEX(Rankings!$B$3:$B$13,MATCH(MIN(Rankings!$E$3:$E$6,Rankings!$E$10:$E$13),Rankings!$E$3:$E$13,0)),"")</f>
      </c>
      <c r="P4" s="322">
        <f>MIN(Rankings!$E$3:$E$6,Rankings!$E$10:$E$13)&amp;" GA"</f>
      </c>
    </row>
    <row r="5" spans="2:16">
      <c r="B5" s="476"/>
      <c r="C5" s="459"/>
      <c r="D5" s="459"/>
      <c r="E5" s="478"/>
      <c r="F5" s="478"/>
      <c r="G5" s="459">
        <v>0</v>
      </c>
      <c r="H5" s="459"/>
      <c r="I5" s="459"/>
      <c r="J5" s="459"/>
      <c r="K5" s="457">
        <f t="shared" si="0"/>
      </c>
      <c r="L5" s="458">
        <f t="shared" si="1"/>
      </c>
    </row>
    <row r="6" spans="2:16">
      <c r="B6" s="473"/>
      <c r="C6" s="463"/>
      <c r="D6" s="463"/>
      <c r="E6" s="475"/>
      <c r="F6" s="475"/>
      <c r="G6" s="463">
        <v>1</v>
      </c>
      <c r="H6" s="463"/>
      <c r="I6" s="463"/>
      <c r="J6" s="463"/>
      <c r="K6" s="464">
        <f t="shared" si="0"/>
      </c>
      <c r="L6" s="465">
        <f t="shared" si="1"/>
      </c>
    </row>
    <row r="7" spans="2:16">
      <c r="B7" s="476"/>
      <c r="C7" s="459"/>
      <c r="D7" s="459"/>
      <c r="E7" s="478"/>
      <c r="F7" s="478"/>
      <c r="G7" s="459">
        <v>3</v>
      </c>
      <c r="H7" s="459"/>
      <c r="I7" s="459"/>
      <c r="J7" s="459"/>
      <c r="K7" s="457">
        <f t="shared" si="0"/>
      </c>
      <c r="L7" s="458">
        <f t="shared" si="1"/>
      </c>
    </row>
    <row r="8" spans="2:16">
      <c r="B8" s="473"/>
      <c r="C8" s="463"/>
      <c r="D8" s="466"/>
      <c r="E8" s="479"/>
      <c r="F8" s="479"/>
      <c r="G8" s="463">
        <v>5</v>
      </c>
      <c r="H8" s="463"/>
      <c r="I8" s="463"/>
      <c r="J8" s="463"/>
      <c r="K8" s="464">
        <f t="shared" si="0"/>
      </c>
      <c r="L8" s="465">
        <f t="shared" si="1"/>
      </c>
    </row>
    <row r="9" spans="2:16">
      <c r="B9" s="476"/>
      <c r="C9" s="459"/>
      <c r="D9" s="459"/>
      <c r="E9" s="478"/>
      <c r="F9" s="478"/>
      <c r="G9" s="459">
        <v>3</v>
      </c>
      <c r="H9" s="459"/>
      <c r="I9" s="459"/>
      <c r="J9" s="459"/>
      <c r="K9" s="457">
        <f t="shared" si="0"/>
      </c>
      <c r="L9" s="458">
        <f t="shared" si="1"/>
      </c>
    </row>
    <row r="10" spans="2:16">
      <c r="B10" s="473"/>
      <c r="C10" s="463"/>
      <c r="D10" s="463"/>
      <c r="E10" s="475"/>
      <c r="F10" s="475"/>
      <c r="G10" s="463">
        <v>1</v>
      </c>
      <c r="H10" s="463"/>
      <c r="I10" s="463"/>
      <c r="J10" s="463"/>
      <c r="K10" s="464">
        <f t="shared" si="0"/>
      </c>
      <c r="L10" s="465">
        <f t="shared" si="1"/>
      </c>
    </row>
    <row r="11" spans="2:16">
      <c r="B11" s="476"/>
      <c r="C11" s="459"/>
      <c r="D11" s="460"/>
      <c r="E11" s="480"/>
      <c r="F11" s="480"/>
      <c r="G11" s="459">
        <v>2</v>
      </c>
      <c r="H11" s="459"/>
      <c r="I11" s="459"/>
      <c r="J11" s="459"/>
      <c r="K11" s="457">
        <f t="shared" si="0"/>
      </c>
      <c r="L11" s="458">
        <f t="shared" si="1"/>
      </c>
    </row>
    <row r="12" spans="2:16">
      <c r="B12" s="473"/>
      <c r="C12" s="463"/>
      <c r="D12" s="463"/>
      <c r="E12" s="475"/>
      <c r="F12" s="475"/>
      <c r="G12" s="463">
        <v>2</v>
      </c>
      <c r="H12" s="463"/>
      <c r="I12" s="463"/>
      <c r="J12" s="463"/>
      <c r="K12" s="464">
        <f t="shared" si="0"/>
      </c>
      <c r="L12" s="465">
        <f t="shared" si="1"/>
      </c>
    </row>
    <row r="13" spans="2:16">
      <c r="B13" s="476"/>
      <c r="C13" s="459"/>
      <c r="D13" s="459"/>
      <c r="E13" s="478"/>
      <c r="F13" s="478"/>
      <c r="G13" s="459">
        <v>3</v>
      </c>
      <c r="H13" s="459"/>
      <c r="I13" s="459"/>
      <c r="J13" s="459"/>
      <c r="K13" s="457">
        <f t="shared" si="0"/>
      </c>
      <c r="L13" s="458">
        <f t="shared" si="1"/>
      </c>
    </row>
    <row r="14" spans="2:16">
      <c r="B14" s="473"/>
      <c r="C14" s="463"/>
      <c r="D14" s="463"/>
      <c r="E14" s="475"/>
      <c r="F14" s="475"/>
      <c r="G14" s="463">
        <v>1</v>
      </c>
      <c r="H14" s="463"/>
      <c r="I14" s="463"/>
      <c r="J14" s="463"/>
      <c r="K14" s="464">
        <f t="shared" si="0"/>
      </c>
      <c r="L14" s="465">
        <f t="shared" si="1"/>
      </c>
    </row>
    <row r="15" spans="2:16">
      <c r="B15" s="476"/>
      <c r="C15" s="459"/>
      <c r="D15" s="459"/>
      <c r="E15" s="478"/>
      <c r="F15" s="478"/>
      <c r="G15" s="459">
        <v>1</v>
      </c>
      <c r="H15" s="459"/>
      <c r="I15" s="459"/>
      <c r="J15" s="459"/>
      <c r="K15" s="457">
        <f t="shared" si="0"/>
      </c>
      <c r="L15" s="458">
        <f t="shared" si="1"/>
      </c>
    </row>
    <row r="16" spans="2:16">
      <c r="B16" s="473"/>
      <c r="C16" s="463"/>
      <c r="D16" s="463"/>
      <c r="E16" s="475"/>
      <c r="F16" s="475"/>
      <c r="G16" s="463">
        <v>1</v>
      </c>
      <c r="H16" s="463"/>
      <c r="I16" s="463"/>
      <c r="J16" s="463"/>
      <c r="K16" s="464">
        <f t="shared" si="0"/>
      </c>
      <c r="L16" s="465">
        <f t="shared" si="1"/>
      </c>
    </row>
    <row r="17" spans="2:12">
      <c r="B17" s="476"/>
      <c r="C17" s="477"/>
      <c r="D17" s="459"/>
      <c r="E17" s="478"/>
      <c r="F17" s="478"/>
      <c r="G17" s="459">
        <v>1</v>
      </c>
      <c r="H17" s="459"/>
      <c r="I17" s="459"/>
      <c r="J17" s="459"/>
      <c r="K17" s="457">
        <f t="shared" si="0"/>
      </c>
      <c r="L17" s="458">
        <f t="shared" si="1"/>
      </c>
    </row>
    <row r="18" spans="2:12">
      <c r="B18" s="473"/>
      <c r="C18" s="474"/>
      <c r="D18" s="463"/>
      <c r="E18" s="475"/>
      <c r="F18" s="475"/>
      <c r="G18" s="463">
        <v>1</v>
      </c>
      <c r="H18" s="463"/>
      <c r="I18" s="463"/>
      <c r="J18" s="463"/>
      <c r="K18" s="464">
        <f t="shared" si="0"/>
      </c>
      <c r="L18" s="465">
        <f t="shared" si="1"/>
      </c>
    </row>
    <row r="19" spans="2:12">
      <c r="B19" s="476"/>
      <c r="C19" s="477"/>
      <c r="D19" s="460"/>
      <c r="E19" s="480"/>
      <c r="F19" s="480"/>
      <c r="G19" s="459">
        <v>0</v>
      </c>
      <c r="H19" s="459">
        <v>0</v>
      </c>
      <c r="I19" s="459"/>
      <c r="J19" s="459"/>
      <c r="K19" s="457">
        <f t="shared" si="0"/>
      </c>
      <c r="L19" s="458">
        <f t="shared" si="1"/>
      </c>
    </row>
    <row r="20" spans="2:12">
      <c r="B20" s="473"/>
      <c r="C20" s="474"/>
      <c r="D20" s="463"/>
      <c r="E20" s="475"/>
      <c r="F20" s="475"/>
      <c r="G20" s="463">
        <v>0</v>
      </c>
      <c r="H20" s="463">
        <v>3</v>
      </c>
      <c r="I20" s="463"/>
      <c r="J20" s="463"/>
      <c r="K20" s="464">
        <f t="shared" si="0"/>
      </c>
      <c r="L20" s="465">
        <f t="shared" si="1"/>
      </c>
    </row>
    <row r="21" spans="2:12">
      <c r="B21" s="476"/>
      <c r="C21" s="477"/>
      <c r="D21" s="459"/>
      <c r="E21" s="478"/>
      <c r="F21" s="478"/>
      <c r="G21" s="459">
        <v>2</v>
      </c>
      <c r="H21" s="459">
        <v>6</v>
      </c>
      <c r="I21" s="459"/>
      <c r="J21" s="459"/>
      <c r="K21" s="457">
        <f t="shared" si="0"/>
      </c>
      <c r="L21" s="458">
        <f t="shared" si="1"/>
      </c>
    </row>
    <row r="22" spans="2:12">
      <c r="B22" s="473"/>
      <c r="C22" s="474"/>
      <c r="D22" s="463"/>
      <c r="E22" s="475"/>
      <c r="F22" s="475"/>
      <c r="G22" s="463">
        <v>0</v>
      </c>
      <c r="H22" s="463">
        <v>0</v>
      </c>
      <c r="I22" s="463"/>
      <c r="J22" s="463"/>
      <c r="K22" s="464">
        <f t="shared" si="0"/>
      </c>
      <c r="L22" s="465">
        <f t="shared" si="1"/>
      </c>
    </row>
    <row r="23" spans="2:12">
      <c r="B23" s="476"/>
      <c r="C23" s="477"/>
      <c r="D23" s="459"/>
      <c r="E23" s="478"/>
      <c r="F23" s="478"/>
      <c r="G23" s="459">
        <v>0</v>
      </c>
      <c r="H23" s="459">
        <v>0</v>
      </c>
      <c r="I23" s="459"/>
      <c r="J23" s="459"/>
      <c r="K23" s="457">
        <f t="shared" si="0"/>
      </c>
      <c r="L23" s="458">
        <f t="shared" si="1"/>
      </c>
    </row>
    <row r="24" spans="2:12">
      <c r="B24" s="473"/>
      <c r="C24" s="474"/>
      <c r="D24" s="463"/>
      <c r="E24" s="475"/>
      <c r="F24" s="475"/>
      <c r="G24" s="463">
        <v>7</v>
      </c>
      <c r="H24" s="463">
        <v>1</v>
      </c>
      <c r="I24" s="463"/>
      <c r="J24" s="463"/>
      <c r="K24" s="464">
        <f t="shared" si="0"/>
      </c>
      <c r="L24" s="465">
        <f t="shared" si="1"/>
      </c>
    </row>
    <row r="25" spans="2:12">
      <c r="B25" s="476"/>
      <c r="C25" s="477"/>
      <c r="D25" s="459"/>
      <c r="E25" s="478"/>
      <c r="F25" s="478"/>
      <c r="G25" s="459">
        <v>2</v>
      </c>
      <c r="H25" s="459">
        <v>1</v>
      </c>
      <c r="I25" s="459"/>
      <c r="J25" s="459"/>
      <c r="K25" s="457">
        <f t="shared" si="0"/>
      </c>
      <c r="L25" s="458">
        <f t="shared" si="1"/>
      </c>
    </row>
    <row r="26" spans="2:12">
      <c r="B26" s="473"/>
      <c r="C26" s="474"/>
      <c r="D26" s="463"/>
      <c r="E26" s="475"/>
      <c r="F26" s="475"/>
      <c r="G26" s="463">
        <v>2</v>
      </c>
      <c r="H26" s="463">
        <v>3</v>
      </c>
      <c r="I26" s="463"/>
      <c r="J26" s="463"/>
      <c r="K26" s="464">
        <f t="shared" si="0"/>
      </c>
      <c r="L26" s="465">
        <f t="shared" si="1"/>
      </c>
    </row>
    <row r="27" spans="2:12">
      <c r="B27" s="476"/>
      <c r="C27" s="477"/>
      <c r="D27" s="459"/>
      <c r="E27" s="478"/>
      <c r="F27" s="478"/>
      <c r="G27" s="459">
        <v>3</v>
      </c>
      <c r="H27" s="459">
        <v>0</v>
      </c>
      <c r="I27" s="459"/>
      <c r="J27" s="459"/>
      <c r="K27" s="457">
        <f t="shared" si="0"/>
      </c>
      <c r="L27" s="458">
        <f t="shared" si="1"/>
      </c>
    </row>
    <row r="28" spans="2:12">
      <c r="B28" s="473"/>
      <c r="C28" s="474"/>
      <c r="D28" s="463"/>
      <c r="E28" s="475"/>
      <c r="F28" s="475"/>
      <c r="G28" s="463">
        <v>3</v>
      </c>
      <c r="H28" s="463">
        <v>2</v>
      </c>
      <c r="I28" s="463"/>
      <c r="J28" s="463"/>
      <c r="K28" s="464">
        <f t="shared" si="0"/>
      </c>
      <c r="L28" s="465">
        <f t="shared" si="1"/>
      </c>
    </row>
    <row r="29" spans="2:12">
      <c r="B29" s="476"/>
      <c r="C29" s="477"/>
      <c r="D29" s="459"/>
      <c r="E29" s="478"/>
      <c r="F29" s="478"/>
      <c r="G29" s="459">
        <v>0</v>
      </c>
      <c r="H29" s="459">
        <v>1</v>
      </c>
      <c r="I29" s="459"/>
      <c r="J29" s="459"/>
      <c r="K29" s="457">
        <f t="shared" si="0"/>
      </c>
      <c r="L29" s="458">
        <f t="shared" si="1"/>
      </c>
    </row>
    <row r="30" spans="2:12">
      <c r="B30" s="473"/>
      <c r="C30" s="474"/>
      <c r="D30" s="463"/>
      <c r="E30" s="475"/>
      <c r="F30" s="475"/>
      <c r="G30" s="463">
        <v>0</v>
      </c>
      <c r="H30" s="463">
        <v>0</v>
      </c>
      <c r="I30" s="463"/>
      <c r="J30" s="463"/>
      <c r="K30" s="464">
        <f t="shared" si="0"/>
      </c>
      <c r="L30" s="465">
        <f t="shared" si="1"/>
      </c>
    </row>
    <row r="31" spans="2:12">
      <c r="B31" s="476"/>
      <c r="C31" s="477"/>
      <c r="D31" s="459"/>
      <c r="E31" s="478"/>
      <c r="F31" s="478"/>
      <c r="G31" s="459">
        <v>1</v>
      </c>
      <c r="H31" s="459">
        <v>1</v>
      </c>
      <c r="I31" s="459"/>
      <c r="J31" s="459"/>
      <c r="K31" s="457">
        <f t="shared" si="0"/>
      </c>
      <c r="L31" s="458">
        <f t="shared" si="1"/>
      </c>
    </row>
    <row r="32" spans="2:12">
      <c r="B32" s="473"/>
      <c r="C32" s="474"/>
      <c r="D32" s="463"/>
      <c r="E32" s="475"/>
      <c r="F32" s="475"/>
      <c r="G32" s="463">
        <v>4</v>
      </c>
      <c r="H32" s="463">
        <v>0</v>
      </c>
      <c r="I32" s="463"/>
      <c r="J32" s="463"/>
      <c r="K32" s="464">
        <f t="shared" si="0"/>
      </c>
      <c r="L32" s="465">
        <f t="shared" si="1"/>
      </c>
    </row>
    <row r="33" spans="2:12">
      <c r="B33" s="476"/>
      <c r="C33" s="477"/>
      <c r="D33" s="459"/>
      <c r="E33" s="478"/>
      <c r="F33" s="478"/>
      <c r="G33" s="459">
        <v>2</v>
      </c>
      <c r="H33" s="459">
        <v>6</v>
      </c>
      <c r="I33" s="459"/>
      <c r="J33" s="459"/>
      <c r="K33" s="457">
        <f t="shared" si="0"/>
      </c>
      <c r="L33" s="458">
        <f t="shared" si="1"/>
      </c>
    </row>
    <row r="34" spans="2:12">
      <c r="B34" s="473"/>
      <c r="C34" s="474"/>
      <c r="D34" s="466"/>
      <c r="E34" s="479"/>
      <c r="F34" s="479"/>
      <c r="G34" s="463">
        <v>5</v>
      </c>
      <c r="H34" s="463">
        <v>3</v>
      </c>
      <c r="I34" s="463"/>
      <c r="J34" s="463"/>
      <c r="K34" s="464">
        <f t="shared" si="0"/>
      </c>
      <c r="L34" s="465">
        <f t="shared" si="1"/>
      </c>
    </row>
    <row r="35" spans="2:12">
      <c r="B35" s="476"/>
      <c r="C35" s="477"/>
      <c r="D35" s="460"/>
      <c r="E35" s="480"/>
      <c r="F35" s="480"/>
      <c r="G35" s="459">
        <v>0</v>
      </c>
      <c r="H35" s="459">
        <v>0</v>
      </c>
      <c r="I35" s="459"/>
      <c r="J35" s="459"/>
      <c r="K35" s="457">
        <f t="shared" si="0"/>
      </c>
      <c r="L35" s="458">
        <f t="shared" si="1"/>
      </c>
    </row>
    <row r="36" spans="2:12">
      <c r="B36" s="473"/>
      <c r="C36" s="474"/>
      <c r="D36" s="463"/>
      <c r="E36" s="475"/>
      <c r="F36" s="475"/>
      <c r="G36" s="463">
        <v>0</v>
      </c>
      <c r="H36" s="463">
        <v>0</v>
      </c>
      <c r="I36" s="463"/>
      <c r="J36" s="463"/>
      <c r="K36" s="464">
        <f t="shared" si="0"/>
      </c>
      <c r="L36" s="465">
        <f t="shared" si="1"/>
      </c>
    </row>
    <row r="37" spans="2:12">
      <c r="B37" s="476"/>
      <c r="C37" s="477"/>
      <c r="D37" s="459"/>
      <c r="E37" s="478"/>
      <c r="F37" s="478"/>
      <c r="G37" s="459">
        <v>0</v>
      </c>
      <c r="H37" s="459">
        <v>0</v>
      </c>
      <c r="I37" s="459"/>
      <c r="J37" s="459"/>
      <c r="K37" s="457">
        <f t="shared" si="0"/>
      </c>
      <c r="L37" s="458">
        <f t="shared" si="1"/>
      </c>
    </row>
    <row r="38" spans="2:12">
      <c r="B38" s="473"/>
      <c r="C38" s="474"/>
      <c r="D38" s="463"/>
      <c r="E38" s="475"/>
      <c r="F38" s="475"/>
      <c r="G38" s="463">
        <v>2</v>
      </c>
      <c r="H38" s="463">
        <v>3</v>
      </c>
      <c r="I38" s="463"/>
      <c r="J38" s="463"/>
      <c r="K38" s="464">
        <f t="shared" si="0"/>
      </c>
      <c r="L38" s="465">
        <f t="shared" si="1"/>
      </c>
    </row>
    <row r="39" spans="2:12">
      <c r="B39" s="476"/>
      <c r="C39" s="477"/>
      <c r="D39" s="459"/>
      <c r="E39" s="478"/>
      <c r="F39" s="478"/>
      <c r="G39" s="459">
        <v>1</v>
      </c>
      <c r="H39" s="459">
        <v>1</v>
      </c>
      <c r="I39" s="459"/>
      <c r="J39" s="459"/>
      <c r="K39" s="457">
        <f t="shared" si="0"/>
      </c>
      <c r="L39" s="458">
        <f t="shared" si="1"/>
      </c>
    </row>
    <row r="40" spans="2:12">
      <c r="B40" s="473"/>
      <c r="C40" s="474"/>
      <c r="D40" s="463"/>
      <c r="E40" s="475"/>
      <c r="F40" s="475"/>
      <c r="G40" s="463">
        <v>1</v>
      </c>
      <c r="H40" s="463">
        <v>2</v>
      </c>
      <c r="I40" s="463"/>
      <c r="J40" s="463"/>
      <c r="K40" s="464">
        <f t="shared" si="0"/>
      </c>
      <c r="L40" s="465">
        <f t="shared" si="1"/>
      </c>
    </row>
    <row r="41" spans="2:12">
      <c r="B41" s="476"/>
      <c r="C41" s="477"/>
      <c r="D41" s="459"/>
      <c r="E41" s="478"/>
      <c r="F41" s="478"/>
      <c r="G41" s="459">
        <v>1</v>
      </c>
      <c r="H41" s="459">
        <v>3</v>
      </c>
      <c r="I41" s="459"/>
      <c r="J41" s="459"/>
      <c r="K41" s="457">
        <f t="shared" si="0"/>
      </c>
      <c r="L41" s="458">
        <f t="shared" si="1"/>
      </c>
    </row>
    <row r="42" spans="2:12">
      <c r="B42" s="473"/>
      <c r="C42" s="474"/>
      <c r="D42" s="463"/>
      <c r="E42" s="475"/>
      <c r="F42" s="475"/>
      <c r="G42" s="463">
        <v>0</v>
      </c>
      <c r="H42" s="463">
        <v>1</v>
      </c>
      <c r="I42" s="463"/>
      <c r="J42" s="463"/>
      <c r="K42" s="464">
        <f t="shared" si="0"/>
      </c>
      <c r="L42" s="465">
        <f t="shared" si="1"/>
      </c>
    </row>
    <row r="43" spans="2:12">
      <c r="B43" s="476"/>
      <c r="C43" s="477"/>
      <c r="D43" s="459"/>
      <c r="E43" s="478"/>
      <c r="F43" s="478"/>
      <c r="G43" s="459">
        <v>1</v>
      </c>
      <c r="H43" s="459">
        <v>4</v>
      </c>
      <c r="I43" s="459"/>
      <c r="J43" s="459"/>
      <c r="K43" s="457">
        <f t="shared" si="0"/>
      </c>
      <c r="L43" s="458">
        <f t="shared" si="1"/>
      </c>
    </row>
    <row r="44" spans="2:12">
      <c r="B44" s="473"/>
      <c r="C44" s="474"/>
      <c r="D44" s="463"/>
      <c r="E44" s="475"/>
      <c r="F44" s="475"/>
      <c r="G44" s="463">
        <v>3</v>
      </c>
      <c r="H44" s="463">
        <v>3</v>
      </c>
      <c r="I44" s="463"/>
      <c r="J44" s="463"/>
      <c r="K44" s="464">
        <f t="shared" si="0"/>
      </c>
      <c r="L44" s="465">
        <f t="shared" si="1"/>
      </c>
    </row>
    <row r="45" spans="2:12">
      <c r="B45" s="476"/>
      <c r="C45" s="477"/>
      <c r="D45" s="459"/>
      <c r="E45" s="478"/>
      <c r="F45" s="478"/>
      <c r="G45" s="459">
        <v>2</v>
      </c>
      <c r="H45" s="459">
        <v>2</v>
      </c>
      <c r="I45" s="459"/>
      <c r="J45" s="459"/>
      <c r="K45" s="457">
        <f t="shared" si="0"/>
      </c>
      <c r="L45" s="458">
        <f t="shared" si="1"/>
      </c>
    </row>
    <row r="46" spans="2:12">
      <c r="B46" s="473"/>
      <c r="C46" s="474"/>
      <c r="D46" s="463"/>
      <c r="E46" s="475"/>
      <c r="F46" s="475"/>
      <c r="G46" s="463">
        <v>5</v>
      </c>
      <c r="H46" s="463">
        <v>1</v>
      </c>
      <c r="I46" s="463"/>
      <c r="J46" s="463"/>
      <c r="K46" s="464">
        <f t="shared" si="0"/>
      </c>
      <c r="L46" s="465">
        <f t="shared" si="1"/>
      </c>
    </row>
    <row r="47" spans="2:12">
      <c r="B47" s="476"/>
      <c r="C47" s="477"/>
      <c r="D47" s="459"/>
      <c r="E47" s="478"/>
      <c r="F47" s="478"/>
      <c r="G47" s="459">
        <v>1</v>
      </c>
      <c r="H47" s="459">
        <v>1</v>
      </c>
      <c r="I47" s="459"/>
      <c r="J47" s="459"/>
      <c r="K47" s="457">
        <f t="shared" si="0"/>
      </c>
      <c r="L47" s="458">
        <f t="shared" si="1"/>
      </c>
    </row>
    <row r="48" spans="2:12">
      <c r="B48" s="473"/>
      <c r="C48" s="474"/>
      <c r="D48" s="463"/>
      <c r="E48" s="475"/>
      <c r="F48" s="475"/>
      <c r="G48" s="463">
        <v>0</v>
      </c>
      <c r="H48" s="463">
        <v>2</v>
      </c>
      <c r="I48" s="463"/>
      <c r="J48" s="463"/>
      <c r="K48" s="464">
        <f t="shared" si="0"/>
      </c>
      <c r="L48" s="465">
        <f t="shared" si="1"/>
      </c>
    </row>
    <row r="49" spans="2:12">
      <c r="B49" s="476"/>
      <c r="C49" s="477"/>
      <c r="D49" s="459"/>
      <c r="E49" s="478"/>
      <c r="F49" s="478"/>
      <c r="G49" s="459">
        <v>6</v>
      </c>
      <c r="H49" s="459">
        <v>3</v>
      </c>
      <c r="I49" s="459"/>
      <c r="J49" s="459"/>
      <c r="K49" s="457">
        <f t="shared" si="0"/>
      </c>
      <c r="L49" s="458">
        <f t="shared" si="1"/>
      </c>
    </row>
    <row r="50" spans="2:12">
      <c r="B50" s="481"/>
      <c r="C50" s="482"/>
      <c r="D50" s="467"/>
      <c r="E50" s="483"/>
      <c r="F50" s="483"/>
      <c r="G50" s="467">
        <v>5</v>
      </c>
      <c r="H50" s="467">
        <v>3</v>
      </c>
      <c r="I50" s="467"/>
      <c r="J50" s="467"/>
      <c r="K50" s="464">
        <f t="shared" si="0"/>
      </c>
      <c r="L50" s="465">
        <f t="shared" si="1"/>
      </c>
    </row>
    <row r="51" spans="2:12">
      <c r="B51" s="484"/>
      <c r="C51" s="485"/>
      <c r="D51" s="461"/>
      <c r="E51" s="486"/>
      <c r="F51" s="486"/>
      <c r="G51" s="461">
        <v>0</v>
      </c>
      <c r="H51" s="461">
        <v>0</v>
      </c>
      <c r="I51" s="461"/>
      <c r="J51" s="461"/>
      <c r="K51" s="457">
        <f t="shared" si="0"/>
      </c>
      <c r="L51" s="458">
        <f t="shared" si="1"/>
      </c>
    </row>
    <row r="52" spans="2:12">
      <c r="B52" s="487"/>
      <c r="C52" s="488"/>
      <c r="D52" s="468"/>
      <c r="E52" s="489"/>
      <c r="F52" s="489"/>
      <c r="G52" s="468">
        <v>2</v>
      </c>
      <c r="H52" s="468">
        <v>2</v>
      </c>
      <c r="I52" s="468"/>
      <c r="J52" s="468"/>
      <c r="K52" s="464">
        <f t="shared" si="0"/>
      </c>
      <c r="L52" s="465">
        <f t="shared" si="1"/>
      </c>
    </row>
    <row r="53" spans="2:12">
      <c r="B53" s="484"/>
      <c r="C53" s="485"/>
      <c r="D53" s="461"/>
      <c r="E53" s="486"/>
      <c r="F53" s="486"/>
      <c r="G53" s="461">
        <v>4</v>
      </c>
      <c r="H53" s="461">
        <v>3</v>
      </c>
      <c r="I53" s="461"/>
      <c r="J53" s="461"/>
      <c r="K53" s="457">
        <f t="shared" si="0"/>
      </c>
      <c r="L53" s="458">
        <f t="shared" si="1"/>
      </c>
    </row>
    <row r="54" spans="2:12">
      <c r="B54" s="487"/>
      <c r="C54" s="488"/>
      <c r="D54" s="469"/>
      <c r="E54" s="490"/>
      <c r="F54" s="490"/>
      <c r="G54" s="468">
        <v>0</v>
      </c>
      <c r="H54" s="468">
        <v>0</v>
      </c>
      <c r="I54" s="468"/>
      <c r="J54" s="468"/>
      <c r="K54" s="464">
        <f t="shared" si="0"/>
      </c>
      <c r="L54" s="465">
        <f t="shared" si="1"/>
      </c>
    </row>
    <row r="55" spans="2:12">
      <c r="B55" s="484"/>
      <c r="C55" s="485"/>
      <c r="D55" s="461"/>
      <c r="E55" s="486"/>
      <c r="F55" s="486"/>
      <c r="G55" s="461">
        <v>4</v>
      </c>
      <c r="H55" s="461">
        <v>4</v>
      </c>
      <c r="I55" s="461"/>
      <c r="J55" s="461"/>
      <c r="K55" s="457">
        <f t="shared" si="0"/>
      </c>
      <c r="L55" s="458">
        <f t="shared" si="1"/>
      </c>
    </row>
    <row r="56" spans="2:12">
      <c r="B56" s="487"/>
      <c r="C56" s="488"/>
      <c r="D56" s="468"/>
      <c r="E56" s="489"/>
      <c r="F56" s="489"/>
      <c r="G56" s="468">
        <v>2</v>
      </c>
      <c r="H56" s="468">
        <v>3</v>
      </c>
      <c r="I56" s="468"/>
      <c r="J56" s="468"/>
      <c r="K56" s="464">
        <f t="shared" si="0"/>
      </c>
      <c r="L56" s="465">
        <f t="shared" si="1"/>
      </c>
    </row>
    <row r="57" spans="2:12">
      <c r="B57" s="484"/>
      <c r="C57" s="485"/>
      <c r="D57" s="461"/>
      <c r="E57" s="486"/>
      <c r="F57" s="486"/>
      <c r="G57" s="461">
        <v>2</v>
      </c>
      <c r="H57" s="461">
        <v>3</v>
      </c>
      <c r="I57" s="461"/>
      <c r="J57" s="461"/>
      <c r="K57" s="457">
        <f t="shared" si="0"/>
      </c>
      <c r="L57" s="458">
        <f t="shared" si="1"/>
      </c>
    </row>
    <row r="58" spans="2:12">
      <c r="B58" s="487"/>
      <c r="C58" s="488"/>
      <c r="D58" s="469"/>
      <c r="E58" s="490"/>
      <c r="F58" s="490"/>
      <c r="G58" s="468">
        <v>1</v>
      </c>
      <c r="H58" s="468">
        <v>0</v>
      </c>
      <c r="I58" s="468"/>
      <c r="J58" s="468"/>
      <c r="K58" s="464">
        <f t="shared" si="0"/>
      </c>
      <c r="L58" s="465">
        <f t="shared" si="1"/>
      </c>
    </row>
    <row r="59" spans="2:12">
      <c r="B59" s="484"/>
      <c r="C59" s="485"/>
      <c r="D59" s="462"/>
      <c r="E59" s="491"/>
      <c r="F59" s="491"/>
      <c r="G59" s="461">
        <v>3</v>
      </c>
      <c r="H59" s="461">
        <v>1</v>
      </c>
      <c r="I59" s="461"/>
      <c r="J59" s="461"/>
      <c r="K59" s="457">
        <f t="shared" si="0"/>
      </c>
      <c r="L59" s="458">
        <f t="shared" si="1"/>
      </c>
    </row>
    <row r="60" spans="2:12">
      <c r="B60" s="487"/>
      <c r="C60" s="488"/>
      <c r="D60" s="469"/>
      <c r="E60" s="490"/>
      <c r="F60" s="490"/>
      <c r="G60" s="468">
        <v>1</v>
      </c>
      <c r="H60" s="468">
        <v>3</v>
      </c>
      <c r="I60" s="468"/>
      <c r="J60" s="468"/>
      <c r="K60" s="464">
        <f t="shared" si="0"/>
      </c>
      <c r="L60" s="465">
        <f t="shared" si="1"/>
      </c>
    </row>
    <row r="61" spans="2:12">
      <c r="B61" s="484"/>
      <c r="C61" s="485"/>
      <c r="D61" s="461"/>
      <c r="E61" s="486"/>
      <c r="F61" s="486"/>
      <c r="G61" s="461">
        <v>2</v>
      </c>
      <c r="H61" s="461">
        <v>2</v>
      </c>
      <c r="I61" s="461"/>
      <c r="J61" s="461"/>
      <c r="K61" s="457">
        <f t="shared" si="0"/>
      </c>
      <c r="L61" s="458">
        <f t="shared" si="1"/>
      </c>
    </row>
    <row r="62" spans="2:12">
      <c r="B62" s="487"/>
      <c r="C62" s="488"/>
      <c r="D62" s="468"/>
      <c r="E62" s="489"/>
      <c r="F62" s="489"/>
      <c r="G62" s="468">
        <v>5</v>
      </c>
      <c r="H62" s="468">
        <v>4</v>
      </c>
      <c r="I62" s="468"/>
      <c r="J62" s="468"/>
      <c r="K62" s="464">
        <f t="shared" si="0"/>
      </c>
      <c r="L62" s="465">
        <f t="shared" si="1"/>
      </c>
    </row>
    <row r="63" spans="2:12">
      <c r="B63" s="484"/>
      <c r="C63" s="485"/>
      <c r="D63" s="461"/>
      <c r="E63" s="486"/>
      <c r="F63" s="486"/>
      <c r="G63" s="461">
        <v>1</v>
      </c>
      <c r="H63" s="461">
        <v>0</v>
      </c>
      <c r="I63" s="461"/>
      <c r="J63" s="461"/>
      <c r="K63" s="457">
        <f t="shared" si="0"/>
      </c>
      <c r="L63" s="458">
        <f t="shared" si="1"/>
      </c>
    </row>
    <row r="64" spans="2:12">
      <c r="B64" s="487"/>
      <c r="C64" s="488"/>
      <c r="D64" s="468"/>
      <c r="E64" s="489"/>
      <c r="F64" s="489"/>
      <c r="G64" s="468">
        <v>0</v>
      </c>
      <c r="H64" s="468">
        <v>1</v>
      </c>
      <c r="I64" s="468"/>
      <c r="J64" s="468"/>
      <c r="K64" s="464">
        <f t="shared" si="0"/>
      </c>
      <c r="L64" s="465">
        <f t="shared" si="1"/>
      </c>
    </row>
    <row r="65" spans="2:12">
      <c r="B65" s="484"/>
      <c r="C65" s="485"/>
      <c r="D65" s="461"/>
      <c r="E65" s="486"/>
      <c r="F65" s="486"/>
      <c r="G65" s="461">
        <v>4</v>
      </c>
      <c r="H65" s="461">
        <v>5</v>
      </c>
      <c r="I65" s="461"/>
      <c r="J65" s="461"/>
      <c r="K65" s="457">
        <f t="shared" si="0"/>
      </c>
      <c r="L65" s="458">
        <f t="shared" si="1"/>
      </c>
    </row>
    <row r="66" spans="2:12">
      <c r="B66" s="487"/>
      <c r="C66" s="488"/>
      <c r="D66" s="468"/>
      <c r="E66" s="489"/>
      <c r="F66" s="489"/>
      <c r="G66" s="468">
        <v>2</v>
      </c>
      <c r="H66" s="468">
        <v>1</v>
      </c>
      <c r="I66" s="468"/>
      <c r="J66" s="468"/>
      <c r="K66" s="464">
        <f t="shared" si="0"/>
      </c>
      <c r="L66" s="465">
        <f t="shared" si="1"/>
      </c>
    </row>
    <row r="67" spans="2:12">
      <c r="B67" s="484"/>
      <c r="C67" s="485"/>
      <c r="D67" s="461"/>
      <c r="E67" s="486"/>
      <c r="F67" s="486"/>
      <c r="G67" s="461">
        <v>0</v>
      </c>
      <c r="H67" s="461">
        <v>0</v>
      </c>
      <c r="I67" s="461"/>
      <c r="J67" s="461"/>
      <c r="K67" s="457">
        <f t="shared" si="0"/>
      </c>
      <c r="L67" s="458">
        <f t="shared" si="1"/>
      </c>
    </row>
    <row r="68" spans="2:12">
      <c r="B68" s="487"/>
      <c r="C68" s="488"/>
      <c r="D68" s="468"/>
      <c r="E68" s="489"/>
      <c r="F68" s="489"/>
      <c r="G68" s="468">
        <v>1</v>
      </c>
      <c r="H68" s="468">
        <v>1</v>
      </c>
      <c r="I68" s="468"/>
      <c r="J68" s="468"/>
      <c r="K68" s="464">
        <f t="shared" ref="K68:K110" si="2">IF($B68="","",SUM($G68:$J68))</f>
      </c>
      <c r="L68" s="465">
        <f t="shared" ref="L68:L110" si="3">IF($B68="","",RANK($K68,$K$3:$K$130))</f>
      </c>
    </row>
    <row r="69" spans="2:12">
      <c r="B69" s="484"/>
      <c r="C69" s="485"/>
      <c r="D69" s="461"/>
      <c r="E69" s="486"/>
      <c r="F69" s="486"/>
      <c r="G69" s="461">
        <v>3</v>
      </c>
      <c r="H69" s="461">
        <v>1</v>
      </c>
      <c r="I69" s="461"/>
      <c r="J69" s="461"/>
      <c r="K69" s="457">
        <f t="shared" si="2"/>
      </c>
      <c r="L69" s="458">
        <f t="shared" si="3"/>
      </c>
    </row>
    <row r="70" spans="2:12">
      <c r="B70" s="487"/>
      <c r="C70" s="488"/>
      <c r="D70" s="469"/>
      <c r="E70" s="490"/>
      <c r="F70" s="490"/>
      <c r="G70" s="468">
        <v>1</v>
      </c>
      <c r="H70" s="468">
        <v>2</v>
      </c>
      <c r="I70" s="468"/>
      <c r="J70" s="468"/>
      <c r="K70" s="464">
        <f t="shared" si="2"/>
      </c>
      <c r="L70" s="465">
        <f t="shared" si="3"/>
      </c>
    </row>
    <row r="71" spans="2:12">
      <c r="B71" s="484"/>
      <c r="C71" s="485"/>
      <c r="D71" s="461"/>
      <c r="E71" s="486"/>
      <c r="F71" s="486"/>
      <c r="G71" s="461">
        <v>0</v>
      </c>
      <c r="H71" s="461">
        <v>0</v>
      </c>
      <c r="I71" s="461"/>
      <c r="J71" s="461"/>
      <c r="K71" s="457">
        <f t="shared" si="2"/>
      </c>
      <c r="L71" s="458">
        <f t="shared" si="3"/>
      </c>
    </row>
    <row r="72" spans="2:12">
      <c r="B72" s="487"/>
      <c r="C72" s="488"/>
      <c r="D72" s="468"/>
      <c r="E72" s="489"/>
      <c r="F72" s="489"/>
      <c r="G72" s="468">
        <v>2</v>
      </c>
      <c r="H72" s="468">
        <v>5</v>
      </c>
      <c r="I72" s="468"/>
      <c r="J72" s="468"/>
      <c r="K72" s="464">
        <f t="shared" si="2"/>
      </c>
      <c r="L72" s="465">
        <f t="shared" si="3"/>
      </c>
    </row>
    <row r="73" spans="2:12">
      <c r="B73" s="484"/>
      <c r="C73" s="485"/>
      <c r="D73" s="461"/>
      <c r="E73" s="486"/>
      <c r="F73" s="486"/>
      <c r="G73" s="461">
        <v>1</v>
      </c>
      <c r="H73" s="461">
        <v>3</v>
      </c>
      <c r="I73" s="461"/>
      <c r="J73" s="461"/>
      <c r="K73" s="457">
        <f t="shared" si="2"/>
      </c>
      <c r="L73" s="458">
        <f t="shared" si="3"/>
      </c>
    </row>
    <row r="74" spans="2:12">
      <c r="B74" s="487"/>
      <c r="C74" s="488"/>
      <c r="D74" s="468"/>
      <c r="E74" s="489"/>
      <c r="F74" s="489"/>
      <c r="G74" s="468">
        <v>3</v>
      </c>
      <c r="H74" s="468">
        <v>1</v>
      </c>
      <c r="I74" s="468"/>
      <c r="J74" s="468"/>
      <c r="K74" s="464">
        <f t="shared" si="2"/>
      </c>
      <c r="L74" s="465">
        <f t="shared" si="3"/>
      </c>
    </row>
    <row r="75" spans="2:12">
      <c r="B75" s="484"/>
      <c r="C75" s="485"/>
      <c r="D75" s="461"/>
      <c r="E75" s="486"/>
      <c r="F75" s="486"/>
      <c r="G75" s="461">
        <v>1</v>
      </c>
      <c r="H75" s="461">
        <v>3</v>
      </c>
      <c r="I75" s="461"/>
      <c r="J75" s="461"/>
      <c r="K75" s="457">
        <f t="shared" si="2"/>
      </c>
      <c r="L75" s="458">
        <f t="shared" si="3"/>
      </c>
    </row>
    <row r="76" spans="2:12">
      <c r="B76" s="487"/>
      <c r="C76" s="488"/>
      <c r="D76" s="468"/>
      <c r="E76" s="489"/>
      <c r="F76" s="489"/>
      <c r="G76" s="468">
        <v>0</v>
      </c>
      <c r="H76" s="468">
        <v>1</v>
      </c>
      <c r="I76" s="468"/>
      <c r="J76" s="468"/>
      <c r="K76" s="464">
        <f t="shared" si="2"/>
      </c>
      <c r="L76" s="465">
        <f t="shared" si="3"/>
      </c>
    </row>
    <row r="77" spans="2:12">
      <c r="B77" s="484"/>
      <c r="C77" s="485"/>
      <c r="D77" s="461"/>
      <c r="E77" s="486"/>
      <c r="F77" s="486"/>
      <c r="G77" s="461">
        <v>0</v>
      </c>
      <c r="H77" s="461">
        <v>1</v>
      </c>
      <c r="I77" s="461"/>
      <c r="J77" s="461"/>
      <c r="K77" s="457">
        <f t="shared" si="2"/>
      </c>
      <c r="L77" s="458">
        <f t="shared" si="3"/>
      </c>
    </row>
    <row r="78" spans="2:12">
      <c r="B78" s="487"/>
      <c r="C78" s="488"/>
      <c r="D78" s="468"/>
      <c r="E78" s="489"/>
      <c r="F78" s="489"/>
      <c r="G78" s="468">
        <v>3</v>
      </c>
      <c r="H78" s="468">
        <v>1</v>
      </c>
      <c r="I78" s="468"/>
      <c r="J78" s="468"/>
      <c r="K78" s="464">
        <f t="shared" si="2"/>
      </c>
      <c r="L78" s="465">
        <f t="shared" si="3"/>
      </c>
    </row>
    <row r="79" spans="2:12">
      <c r="B79" s="484"/>
      <c r="C79" s="485"/>
      <c r="D79" s="461"/>
      <c r="E79" s="486"/>
      <c r="F79" s="486"/>
      <c r="G79" s="461">
        <v>0</v>
      </c>
      <c r="H79" s="461">
        <v>0</v>
      </c>
      <c r="I79" s="461"/>
      <c r="J79" s="461"/>
      <c r="K79" s="457">
        <f t="shared" si="2"/>
      </c>
      <c r="L79" s="458">
        <f t="shared" si="3"/>
      </c>
    </row>
    <row r="80" spans="2:12">
      <c r="B80" s="487"/>
      <c r="C80" s="488"/>
      <c r="D80" s="468"/>
      <c r="E80" s="489"/>
      <c r="F80" s="489"/>
      <c r="G80" s="468">
        <v>4</v>
      </c>
      <c r="H80" s="468">
        <v>4</v>
      </c>
      <c r="I80" s="468"/>
      <c r="J80" s="468"/>
      <c r="K80" s="464">
        <f t="shared" si="2"/>
      </c>
      <c r="L80" s="465">
        <f t="shared" si="3"/>
      </c>
    </row>
    <row r="81" spans="2:12">
      <c r="B81" s="484"/>
      <c r="C81" s="485"/>
      <c r="D81" s="461"/>
      <c r="E81" s="486"/>
      <c r="F81" s="486"/>
      <c r="G81" s="461">
        <v>4</v>
      </c>
      <c r="H81" s="461">
        <v>2</v>
      </c>
      <c r="I81" s="461"/>
      <c r="J81" s="461"/>
      <c r="K81" s="457">
        <f t="shared" si="2"/>
      </c>
      <c r="L81" s="458">
        <f t="shared" si="3"/>
      </c>
    </row>
    <row r="82" spans="2:12">
      <c r="B82" s="487"/>
      <c r="C82" s="488"/>
      <c r="D82" s="468"/>
      <c r="E82" s="489"/>
      <c r="F82" s="489"/>
      <c r="G82" s="468">
        <v>4</v>
      </c>
      <c r="H82" s="468">
        <v>4</v>
      </c>
      <c r="I82" s="468"/>
      <c r="J82" s="468"/>
      <c r="K82" s="464">
        <f t="shared" si="2"/>
      </c>
      <c r="L82" s="465">
        <f t="shared" si="3"/>
      </c>
    </row>
    <row r="83" spans="2:12">
      <c r="B83" s="484"/>
      <c r="C83" s="485"/>
      <c r="D83" s="462"/>
      <c r="E83" s="491"/>
      <c r="F83" s="491"/>
      <c r="G83" s="461">
        <v>0</v>
      </c>
      <c r="H83" s="461">
        <v>0</v>
      </c>
      <c r="I83" s="461"/>
      <c r="J83" s="461"/>
      <c r="K83" s="457">
        <f t="shared" si="2"/>
      </c>
      <c r="L83" s="458">
        <f t="shared" si="3"/>
      </c>
    </row>
    <row r="84" spans="2:12">
      <c r="B84" s="487"/>
      <c r="C84" s="488"/>
      <c r="D84" s="468"/>
      <c r="E84" s="489"/>
      <c r="F84" s="489"/>
      <c r="G84" s="468">
        <v>7</v>
      </c>
      <c r="H84" s="468">
        <v>2</v>
      </c>
      <c r="I84" s="468"/>
      <c r="J84" s="468"/>
      <c r="K84" s="464">
        <f t="shared" si="2"/>
      </c>
      <c r="L84" s="465">
        <f t="shared" si="3"/>
      </c>
    </row>
    <row r="85" spans="2:12">
      <c r="B85" s="484"/>
      <c r="C85" s="485"/>
      <c r="D85" s="461"/>
      <c r="E85" s="486"/>
      <c r="F85" s="486"/>
      <c r="G85" s="461">
        <v>1</v>
      </c>
      <c r="H85" s="461">
        <v>3</v>
      </c>
      <c r="I85" s="461"/>
      <c r="J85" s="461"/>
      <c r="K85" s="457">
        <f t="shared" si="2"/>
      </c>
      <c r="L85" s="458">
        <f t="shared" si="3"/>
      </c>
    </row>
    <row r="86" spans="2:12">
      <c r="B86" s="487"/>
      <c r="C86" s="488"/>
      <c r="D86" s="468"/>
      <c r="E86" s="489"/>
      <c r="F86" s="489"/>
      <c r="G86" s="468">
        <v>1</v>
      </c>
      <c r="H86" s="468">
        <v>0</v>
      </c>
      <c r="I86" s="468"/>
      <c r="J86" s="468"/>
      <c r="K86" s="464">
        <f t="shared" si="2"/>
      </c>
      <c r="L86" s="465">
        <f t="shared" si="3"/>
      </c>
    </row>
    <row r="87" spans="2:12">
      <c r="B87" s="484"/>
      <c r="C87" s="485"/>
      <c r="D87" s="461"/>
      <c r="E87" s="486"/>
      <c r="F87" s="486"/>
      <c r="G87" s="461">
        <v>0</v>
      </c>
      <c r="H87" s="461">
        <v>0</v>
      </c>
      <c r="I87" s="461"/>
      <c r="J87" s="461"/>
      <c r="K87" s="457">
        <f t="shared" si="2"/>
      </c>
      <c r="L87" s="458">
        <f t="shared" si="3"/>
      </c>
    </row>
    <row r="88" spans="2:12">
      <c r="B88" s="487"/>
      <c r="C88" s="488"/>
      <c r="D88" s="468"/>
      <c r="E88" s="489"/>
      <c r="F88" s="489"/>
      <c r="G88" s="468">
        <v>5</v>
      </c>
      <c r="H88" s="468">
        <v>0</v>
      </c>
      <c r="I88" s="468"/>
      <c r="J88" s="468"/>
      <c r="K88" s="464">
        <f t="shared" si="2"/>
      </c>
      <c r="L88" s="465">
        <f t="shared" si="3"/>
      </c>
    </row>
    <row r="89" spans="2:12">
      <c r="B89" s="484"/>
      <c r="C89" s="485"/>
      <c r="D89" s="461"/>
      <c r="E89" s="486"/>
      <c r="F89" s="486"/>
      <c r="G89" s="461">
        <v>0</v>
      </c>
      <c r="H89" s="461">
        <v>2</v>
      </c>
      <c r="I89" s="461"/>
      <c r="J89" s="461"/>
      <c r="K89" s="457">
        <f t="shared" si="2"/>
      </c>
      <c r="L89" s="458">
        <f t="shared" si="3"/>
      </c>
    </row>
    <row r="90" spans="2:12">
      <c r="B90" s="487"/>
      <c r="C90" s="488"/>
      <c r="D90" s="468"/>
      <c r="E90" s="489"/>
      <c r="F90" s="489"/>
      <c r="G90" s="468">
        <v>0</v>
      </c>
      <c r="H90" s="468">
        <v>1</v>
      </c>
      <c r="I90" s="468"/>
      <c r="J90" s="468"/>
      <c r="K90" s="464">
        <f t="shared" si="2"/>
      </c>
      <c r="L90" s="465">
        <f t="shared" si="3"/>
      </c>
    </row>
    <row r="91" spans="2:12">
      <c r="B91" s="484"/>
      <c r="C91" s="485"/>
      <c r="D91" s="461"/>
      <c r="E91" s="486"/>
      <c r="F91" s="486"/>
      <c r="G91" s="461">
        <v>2</v>
      </c>
      <c r="H91" s="461">
        <v>4</v>
      </c>
      <c r="I91" s="461"/>
      <c r="J91" s="461"/>
      <c r="K91" s="457">
        <f t="shared" si="2"/>
      </c>
      <c r="L91" s="458">
        <f t="shared" si="3"/>
      </c>
    </row>
    <row r="92" spans="2:12">
      <c r="B92" s="487"/>
      <c r="C92" s="488"/>
      <c r="D92" s="468"/>
      <c r="E92" s="489"/>
      <c r="F92" s="489"/>
      <c r="G92" s="468">
        <v>1</v>
      </c>
      <c r="H92" s="468">
        <v>1</v>
      </c>
      <c r="I92" s="468"/>
      <c r="J92" s="468"/>
      <c r="K92" s="464">
        <f t="shared" si="2"/>
      </c>
      <c r="L92" s="465">
        <f t="shared" si="3"/>
      </c>
    </row>
    <row r="93" spans="2:12">
      <c r="B93" s="484"/>
      <c r="C93" s="485"/>
      <c r="D93" s="461"/>
      <c r="E93" s="486"/>
      <c r="F93" s="486"/>
      <c r="G93" s="461">
        <v>1</v>
      </c>
      <c r="H93" s="461">
        <v>6</v>
      </c>
      <c r="I93" s="461"/>
      <c r="J93" s="461"/>
      <c r="K93" s="457">
        <f t="shared" si="2"/>
      </c>
      <c r="L93" s="458">
        <f t="shared" si="3"/>
      </c>
    </row>
    <row r="94" spans="2:12">
      <c r="B94" s="487"/>
      <c r="C94" s="488"/>
      <c r="D94" s="468"/>
      <c r="E94" s="489"/>
      <c r="F94" s="489"/>
      <c r="G94" s="468">
        <v>2</v>
      </c>
      <c r="H94" s="468">
        <v>0</v>
      </c>
      <c r="I94" s="468"/>
      <c r="J94" s="468"/>
      <c r="K94" s="464">
        <f t="shared" si="2"/>
      </c>
      <c r="L94" s="465">
        <f t="shared" si="3"/>
      </c>
    </row>
    <row r="95" spans="2:12">
      <c r="B95" s="484"/>
      <c r="C95" s="485"/>
      <c r="D95" s="461"/>
      <c r="E95" s="486"/>
      <c r="F95" s="486"/>
      <c r="G95" s="461">
        <v>0</v>
      </c>
      <c r="H95" s="461">
        <v>2</v>
      </c>
      <c r="I95" s="461"/>
      <c r="J95" s="461"/>
      <c r="K95" s="457">
        <f t="shared" si="2"/>
      </c>
      <c r="L95" s="458">
        <f t="shared" si="3"/>
      </c>
    </row>
    <row r="96" spans="2:12">
      <c r="B96" s="487"/>
      <c r="C96" s="488"/>
      <c r="D96" s="468"/>
      <c r="E96" s="489"/>
      <c r="F96" s="489"/>
      <c r="G96" s="468">
        <v>1</v>
      </c>
      <c r="H96" s="468">
        <v>1</v>
      </c>
      <c r="I96" s="468"/>
      <c r="J96" s="468"/>
      <c r="K96" s="464">
        <f t="shared" si="2"/>
      </c>
      <c r="L96" s="465">
        <f t="shared" si="3"/>
      </c>
    </row>
    <row r="97" spans="2:12">
      <c r="B97" s="484"/>
      <c r="C97" s="485"/>
      <c r="D97" s="461"/>
      <c r="E97" s="486"/>
      <c r="F97" s="486"/>
      <c r="G97" s="461">
        <v>3</v>
      </c>
      <c r="H97" s="461">
        <v>2</v>
      </c>
      <c r="I97" s="461"/>
      <c r="J97" s="461"/>
      <c r="K97" s="457">
        <f t="shared" si="2"/>
      </c>
      <c r="L97" s="458">
        <f t="shared" si="3"/>
      </c>
    </row>
    <row r="98" spans="2:12">
      <c r="B98" s="487"/>
      <c r="C98" s="488"/>
      <c r="D98" s="468"/>
      <c r="E98" s="489"/>
      <c r="F98" s="489"/>
      <c r="G98" s="468">
        <v>0</v>
      </c>
      <c r="H98" s="468">
        <v>1</v>
      </c>
      <c r="I98" s="468"/>
      <c r="J98" s="468"/>
      <c r="K98" s="464">
        <f t="shared" si="2"/>
      </c>
      <c r="L98" s="465">
        <f t="shared" si="3"/>
      </c>
    </row>
    <row r="99" spans="2:12">
      <c r="B99" s="484"/>
      <c r="C99" s="485"/>
      <c r="D99" s="461"/>
      <c r="E99" s="486"/>
      <c r="F99" s="486"/>
      <c r="G99" s="461">
        <v>0</v>
      </c>
      <c r="H99" s="461">
        <v>0</v>
      </c>
      <c r="I99" s="461"/>
      <c r="J99" s="461"/>
      <c r="K99" s="457">
        <f t="shared" si="2"/>
      </c>
      <c r="L99" s="458">
        <f t="shared" si="3"/>
      </c>
    </row>
    <row r="100" spans="2:12">
      <c r="B100" s="487"/>
      <c r="C100" s="488"/>
      <c r="D100" s="468"/>
      <c r="E100" s="489"/>
      <c r="F100" s="489"/>
      <c r="G100" s="468">
        <v>2</v>
      </c>
      <c r="H100" s="468">
        <v>2</v>
      </c>
      <c r="I100" s="468"/>
      <c r="J100" s="468"/>
      <c r="K100" s="464">
        <f t="shared" si="2"/>
      </c>
      <c r="L100" s="465">
        <f t="shared" si="3"/>
      </c>
    </row>
    <row r="101" spans="2:12">
      <c r="B101" s="484"/>
      <c r="C101" s="485"/>
      <c r="D101" s="461"/>
      <c r="E101" s="486"/>
      <c r="F101" s="486"/>
      <c r="G101" s="461">
        <v>0</v>
      </c>
      <c r="H101" s="461">
        <v>0</v>
      </c>
      <c r="I101" s="461"/>
      <c r="J101" s="461"/>
      <c r="K101" s="457">
        <f t="shared" si="2"/>
      </c>
      <c r="L101" s="458">
        <f t="shared" si="3"/>
      </c>
    </row>
    <row r="102" spans="2:12">
      <c r="B102" s="487"/>
      <c r="C102" s="488"/>
      <c r="D102" s="468"/>
      <c r="E102" s="489"/>
      <c r="F102" s="489"/>
      <c r="G102" s="468">
        <v>3</v>
      </c>
      <c r="H102" s="468">
        <v>1</v>
      </c>
      <c r="I102" s="468"/>
      <c r="J102" s="468"/>
      <c r="K102" s="464">
        <f t="shared" si="2"/>
      </c>
      <c r="L102" s="465">
        <f t="shared" si="3"/>
      </c>
    </row>
    <row r="103" spans="2:12">
      <c r="B103" s="484"/>
      <c r="C103" s="485"/>
      <c r="D103" s="461"/>
      <c r="E103" s="486"/>
      <c r="F103" s="486"/>
      <c r="G103" s="461">
        <v>1</v>
      </c>
      <c r="H103" s="461">
        <v>2</v>
      </c>
      <c r="I103" s="461"/>
      <c r="J103" s="461"/>
      <c r="K103" s="457">
        <f t="shared" si="2"/>
      </c>
      <c r="L103" s="458">
        <f t="shared" si="3"/>
      </c>
    </row>
    <row r="104" spans="2:12">
      <c r="B104" s="487"/>
      <c r="C104" s="488"/>
      <c r="D104" s="468"/>
      <c r="E104" s="489"/>
      <c r="F104" s="489"/>
      <c r="G104" s="468">
        <v>1</v>
      </c>
      <c r="H104" s="468">
        <v>6</v>
      </c>
      <c r="I104" s="468"/>
      <c r="J104" s="468"/>
      <c r="K104" s="464">
        <f t="shared" si="2"/>
      </c>
      <c r="L104" s="465">
        <f t="shared" si="3"/>
      </c>
    </row>
    <row r="105" spans="2:12">
      <c r="B105" s="484"/>
      <c r="C105" s="485"/>
      <c r="D105" s="461"/>
      <c r="E105" s="486"/>
      <c r="F105" s="486"/>
      <c r="G105" s="461">
        <v>3</v>
      </c>
      <c r="H105" s="461">
        <v>6</v>
      </c>
      <c r="I105" s="461"/>
      <c r="J105" s="461"/>
      <c r="K105" s="457">
        <f t="shared" si="2"/>
      </c>
      <c r="L105" s="458">
        <f t="shared" si="3"/>
      </c>
    </row>
    <row r="106" spans="2:12">
      <c r="B106" s="487"/>
      <c r="C106" s="488"/>
      <c r="D106" s="468"/>
      <c r="E106" s="489"/>
      <c r="F106" s="489"/>
      <c r="G106" s="468">
        <v>1</v>
      </c>
      <c r="H106" s="468">
        <v>3</v>
      </c>
      <c r="I106" s="468"/>
      <c r="J106" s="468"/>
      <c r="K106" s="464">
        <f t="shared" si="2"/>
      </c>
      <c r="L106" s="465">
        <f t="shared" si="3"/>
      </c>
    </row>
    <row r="107" spans="2:12">
      <c r="B107" s="484"/>
      <c r="C107" s="485"/>
      <c r="D107" s="462"/>
      <c r="E107" s="491"/>
      <c r="F107" s="491"/>
      <c r="G107" s="461">
        <v>4</v>
      </c>
      <c r="H107" s="461">
        <v>3</v>
      </c>
      <c r="I107" s="461"/>
      <c r="J107" s="461"/>
      <c r="K107" s="457">
        <f t="shared" si="2"/>
      </c>
      <c r="L107" s="458">
        <f t="shared" si="3"/>
      </c>
    </row>
    <row r="108" spans="2:12">
      <c r="B108" s="487"/>
      <c r="C108" s="488"/>
      <c r="D108" s="469"/>
      <c r="E108" s="490"/>
      <c r="F108" s="490"/>
      <c r="G108" s="468">
        <v>2</v>
      </c>
      <c r="H108" s="468">
        <v>1</v>
      </c>
      <c r="I108" s="468"/>
      <c r="J108" s="468"/>
      <c r="K108" s="464">
        <f t="shared" si="2"/>
      </c>
      <c r="L108" s="465">
        <f t="shared" si="3"/>
      </c>
    </row>
    <row r="109" spans="2:12">
      <c r="B109" s="484"/>
      <c r="C109" s="485"/>
      <c r="D109" s="461"/>
      <c r="E109" s="486"/>
      <c r="F109" s="486"/>
      <c r="G109" s="461">
        <v>4</v>
      </c>
      <c r="H109" s="461">
        <v>3</v>
      </c>
      <c r="I109" s="461"/>
      <c r="J109" s="461"/>
      <c r="K109" s="457">
        <f t="shared" si="2"/>
      </c>
      <c r="L109" s="458">
        <f t="shared" si="3"/>
      </c>
    </row>
    <row r="110" spans="2:12">
      <c r="B110" s="487"/>
      <c r="C110" s="488"/>
      <c r="D110" s="468"/>
      <c r="E110" s="489"/>
      <c r="F110" s="489"/>
      <c r="G110" s="468">
        <v>4</v>
      </c>
      <c r="H110" s="468">
        <v>2</v>
      </c>
      <c r="I110" s="468"/>
      <c r="J110" s="468"/>
      <c r="K110" s="464">
        <f t="shared" si="2"/>
      </c>
      <c r="L110" s="465">
        <f t="shared" si="3"/>
      </c>
    </row>
    <row r="111" spans="2:12">
      <c r="B111" s="484"/>
      <c r="C111" s="485"/>
      <c r="D111" s="461"/>
      <c r="E111" s="486"/>
      <c r="F111" s="486"/>
      <c r="G111" s="461">
        <v>1</v>
      </c>
      <c r="H111" s="461">
        <v>1</v>
      </c>
      <c r="I111" s="461"/>
      <c r="J111" s="461"/>
      <c r="K111" s="457">
        <f>IF($B111="","",SUM($G111:$J111))</f>
      </c>
      <c r="L111" s="458">
        <f>IF($B111="","",RANK($K111,$K$3:$K$130))</f>
      </c>
    </row>
    <row r="112" spans="2:12">
      <c r="B112" s="487"/>
      <c r="C112" s="488"/>
      <c r="D112" s="468"/>
      <c r="E112" s="489"/>
      <c r="F112" s="489"/>
      <c r="G112" s="468">
        <v>2</v>
      </c>
      <c r="H112" s="468">
        <v>1</v>
      </c>
      <c r="I112" s="468"/>
      <c r="J112" s="468"/>
      <c r="K112" s="464">
        <f>IF($B112="","",SUM($G112:$J112))</f>
      </c>
      <c r="L112" s="465">
        <f>IF($B112="","",RANK($K112,$K$3:$K$130))</f>
      </c>
    </row>
    <row r="113" spans="2:12">
      <c r="B113" s="484"/>
      <c r="C113" s="485"/>
      <c r="D113" s="461"/>
      <c r="E113" s="486"/>
      <c r="F113" s="486"/>
      <c r="G113" s="461">
        <v>1</v>
      </c>
      <c r="H113" s="461">
        <v>1</v>
      </c>
      <c r="I113" s="461"/>
      <c r="J113" s="461"/>
      <c r="K113" s="457">
        <f>IF($B113="","",SUM($G113:$J113))</f>
      </c>
      <c r="L113" s="458">
        <f>IF($B113="","",RANK($K113,$K$3:$K$130))</f>
      </c>
    </row>
    <row r="114" spans="2:12">
      <c r="B114" s="487"/>
      <c r="C114" s="488"/>
      <c r="D114" s="468"/>
      <c r="E114" s="489"/>
      <c r="F114" s="489"/>
      <c r="G114" s="468">
        <v>0</v>
      </c>
      <c r="H114" s="468">
        <v>2</v>
      </c>
      <c r="I114" s="468"/>
      <c r="J114" s="468"/>
      <c r="K114" s="464">
        <f>IF($B114="","",SUM($G114:$J114))</f>
      </c>
      <c r="L114" s="465">
        <f>IF($B114="","",RANK($K114,$K$3:$K$130))</f>
      </c>
    </row>
    <row r="115" spans="2:12">
      <c r="B115" s="484"/>
      <c r="C115" s="485"/>
      <c r="D115" s="461"/>
      <c r="E115" s="486"/>
      <c r="F115" s="486"/>
      <c r="G115" s="461">
        <v>0</v>
      </c>
      <c r="H115" s="461"/>
      <c r="I115" s="461"/>
      <c r="J115" s="461"/>
      <c r="K115" s="457">
        <f>IF($B115="","",SUM($G115:$J115))</f>
      </c>
      <c r="L115" s="458">
        <f>IF($B115="","",RANK($K115,$K$3:$K$130))</f>
      </c>
    </row>
    <row r="116" spans="2:12">
      <c r="B116" s="487"/>
      <c r="C116" s="488"/>
      <c r="D116" s="468"/>
      <c r="E116" s="489"/>
      <c r="F116" s="489"/>
      <c r="G116" s="468">
        <v>1</v>
      </c>
      <c r="H116" s="468"/>
      <c r="I116" s="468"/>
      <c r="J116" s="468"/>
      <c r="K116" s="464">
        <f>IF($B116="","",SUM($G116:$J116))</f>
      </c>
      <c r="L116" s="465">
        <f>IF($B116="","",RANK($K116,$K$3:$K$130))</f>
      </c>
    </row>
    <row r="117" spans="2:12">
      <c r="B117" s="484"/>
      <c r="C117" s="485"/>
      <c r="D117" s="461"/>
      <c r="E117" s="486"/>
      <c r="F117" s="486"/>
      <c r="G117" s="461">
        <v>3</v>
      </c>
      <c r="H117" s="461"/>
      <c r="I117" s="461"/>
      <c r="J117" s="461"/>
      <c r="K117" s="457">
        <f>IF($B117="","",SUM($G117:$J117))</f>
      </c>
      <c r="L117" s="458">
        <f>IF($B117="","",RANK($K117,$K$3:$K$130))</f>
      </c>
    </row>
    <row r="118" spans="2:12">
      <c r="B118" s="487"/>
      <c r="C118" s="488"/>
      <c r="D118" s="468"/>
      <c r="E118" s="489"/>
      <c r="F118" s="489"/>
      <c r="G118" s="468">
        <v>0</v>
      </c>
      <c r="H118" s="468"/>
      <c r="I118" s="468"/>
      <c r="J118" s="468"/>
      <c r="K118" s="464">
        <f>IF($B118="","",SUM($G118:$J118))</f>
      </c>
      <c r="L118" s="465">
        <f>IF($B118="","",RANK($K118,$K$3:$K$130))</f>
      </c>
    </row>
    <row r="119" spans="2:12">
      <c r="B119" s="484"/>
      <c r="C119" s="485"/>
      <c r="D119" s="461"/>
      <c r="E119" s="486"/>
      <c r="F119" s="486"/>
      <c r="G119" s="461">
        <v>4</v>
      </c>
      <c r="H119" s="461"/>
      <c r="I119" s="461"/>
      <c r="J119" s="461"/>
      <c r="K119" s="457">
        <f>IF($B119="","",SUM($G119:$J119))</f>
      </c>
      <c r="L119" s="458">
        <f>IF($B119="","",RANK($K119,$K$3:$K$130))</f>
      </c>
    </row>
    <row r="120" spans="2:12">
      <c r="B120" s="487"/>
      <c r="C120" s="488"/>
      <c r="D120" s="468"/>
      <c r="E120" s="489"/>
      <c r="F120" s="489"/>
      <c r="G120" s="468">
        <v>1</v>
      </c>
      <c r="H120" s="468"/>
      <c r="I120" s="468"/>
      <c r="J120" s="468"/>
      <c r="K120" s="464">
        <f>IF($B120="","",SUM($G120:$J120))</f>
      </c>
      <c r="L120" s="465">
        <f>IF($B120="","",RANK($K120,$K$3:$K$130))</f>
      </c>
    </row>
    <row r="121" spans="2:12">
      <c r="B121" s="484"/>
      <c r="C121" s="485"/>
      <c r="D121" s="461"/>
      <c r="E121" s="486"/>
      <c r="F121" s="486"/>
      <c r="G121" s="461">
        <v>3</v>
      </c>
      <c r="H121" s="461"/>
      <c r="I121" s="461"/>
      <c r="J121" s="461"/>
      <c r="K121" s="457">
        <f>IF($B121="","",SUM($G121:$J121))</f>
      </c>
      <c r="L121" s="458">
        <f>IF($B121="","",RANK($K121,$K$3:$K$130))</f>
      </c>
    </row>
    <row r="122" spans="2:12">
      <c r="B122" s="487"/>
      <c r="C122" s="488"/>
      <c r="D122" s="468"/>
      <c r="E122" s="489"/>
      <c r="F122" s="489"/>
      <c r="G122" s="468">
        <v>2</v>
      </c>
      <c r="H122" s="468"/>
      <c r="I122" s="468"/>
      <c r="J122" s="468"/>
      <c r="K122" s="464">
        <f>IF($B122="","",SUM($G122:$J122))</f>
      </c>
      <c r="L122" s="465">
        <f>IF($B122="","",RANK($K122,$K$3:$K$130))</f>
      </c>
    </row>
    <row r="123" spans="2:12">
      <c r="B123" s="484"/>
      <c r="C123" s="485"/>
      <c r="D123" s="461"/>
      <c r="E123" s="486"/>
      <c r="F123" s="486"/>
      <c r="G123" s="461">
        <v>2</v>
      </c>
      <c r="H123" s="461"/>
      <c r="I123" s="461"/>
      <c r="J123" s="461"/>
      <c r="K123" s="457">
        <f>IF($B123="","",SUM($G123:$J123))</f>
      </c>
      <c r="L123" s="458">
        <f>IF($B123="","",RANK($K123,$K$3:$K$130))</f>
      </c>
    </row>
    <row r="124" spans="2:12">
      <c r="B124" s="487"/>
      <c r="C124" s="488"/>
      <c r="D124" s="468"/>
      <c r="E124" s="489"/>
      <c r="F124" s="489"/>
      <c r="G124" s="468">
        <v>4</v>
      </c>
      <c r="H124" s="468"/>
      <c r="I124" s="468"/>
      <c r="J124" s="468"/>
      <c r="K124" s="464">
        <f>IF($B124="","",SUM($G124:$J124))</f>
      </c>
      <c r="L124" s="465">
        <f>IF($B124="","",RANK($K124,$K$3:$K$130))</f>
      </c>
    </row>
    <row r="125" spans="2:12">
      <c r="B125" s="484"/>
      <c r="C125" s="485"/>
      <c r="D125" s="461"/>
      <c r="E125" s="486"/>
      <c r="F125" s="486"/>
      <c r="G125" s="461">
        <v>0</v>
      </c>
      <c r="H125" s="461"/>
      <c r="I125" s="461"/>
      <c r="J125" s="461"/>
      <c r="K125" s="457">
        <f>IF($B125="","",SUM($G125:$J125))</f>
      </c>
      <c r="L125" s="458">
        <f>IF($B125="","",RANK($K125,$K$3:$K$130))</f>
      </c>
    </row>
    <row r="126" spans="2:12">
      <c r="B126" s="487"/>
      <c r="C126" s="488"/>
      <c r="D126" s="468"/>
      <c r="E126" s="489"/>
      <c r="F126" s="489"/>
      <c r="G126" s="468">
        <v>1</v>
      </c>
      <c r="H126" s="468"/>
      <c r="I126" s="468"/>
      <c r="J126" s="468"/>
      <c r="K126" s="464">
        <f>IF($B126="","",SUM($G126:$J126))</f>
      </c>
      <c r="L126" s="465">
        <f>IF($B126="","",RANK($K126,$K$3:$K$130))</f>
      </c>
    </row>
    <row r="127" spans="2:12">
      <c r="B127" s="484"/>
      <c r="C127" s="485"/>
      <c r="D127" s="461"/>
      <c r="E127" s="486"/>
      <c r="F127" s="486"/>
      <c r="G127" s="461">
        <v>2</v>
      </c>
      <c r="H127" s="461"/>
      <c r="I127" s="461"/>
      <c r="J127" s="461"/>
      <c r="K127" s="457">
        <f>IF($B127="","",SUM($G127:$J127))</f>
      </c>
      <c r="L127" s="458">
        <f>IF($B127="","",RANK($K127,$K$3:$K$130))</f>
      </c>
    </row>
    <row r="128" spans="2:12">
      <c r="B128" s="487"/>
      <c r="C128" s="488"/>
      <c r="D128" s="468"/>
      <c r="E128" s="489"/>
      <c r="F128" s="489"/>
      <c r="G128" s="468">
        <v>2</v>
      </c>
      <c r="H128" s="468"/>
      <c r="I128" s="468"/>
      <c r="J128" s="468"/>
      <c r="K128" s="464">
        <f>IF($B128="","",SUM($G128:$J128))</f>
      </c>
      <c r="L128" s="465">
        <f>IF($B128="","",RANK($K128,$K$3:$K$130))</f>
      </c>
    </row>
    <row r="129" spans="2:12">
      <c r="B129" s="484"/>
      <c r="C129" s="485"/>
      <c r="D129" s="461"/>
      <c r="E129" s="486"/>
      <c r="F129" s="486"/>
      <c r="G129" s="461">
        <v>0</v>
      </c>
      <c r="H129" s="461"/>
      <c r="I129" s="461"/>
      <c r="J129" s="461"/>
      <c r="K129" s="457">
        <f>IF($B129="","",SUM($G129:$J129))</f>
      </c>
      <c r="L129" s="458">
        <f>IF($B129="","",RANK($K129,$K$3:$K$130))</f>
      </c>
    </row>
    <row r="130" spans="2:12">
      <c r="B130" s="487"/>
      <c r="C130" s="488"/>
      <c r="D130" s="468"/>
      <c r="E130" s="489"/>
      <c r="F130" s="489"/>
      <c r="G130" s="468">
        <v>5</v>
      </c>
      <c r="H130" s="468"/>
      <c r="I130" s="468"/>
      <c r="J130" s="468"/>
      <c r="K130" s="464">
        <f>IF($B130="","",SUM($G130:$J130))</f>
      </c>
      <c r="L130" s="465">
        <f>IF($B130="","",RANK($K130,$K$3:$K$130))</f>
      </c>
    </row>
    <row r="131" spans="2:12">
      <c r="B131" s="278"/>
      <c r="C131" s="276"/>
      <c r="D131" s="275"/>
      <c r="E131" s="275"/>
      <c r="F131" s="275"/>
      <c r="G131" s="275"/>
      <c r="H131" s="275"/>
      <c r="I131" s="275"/>
      <c r="J131" s="275"/>
      <c r="K131" s="277"/>
      <c r="L131" s="279"/>
    </row>
  </sheetData>
  <autoFilter ref="B2:K130" xr:uid="{A1B66E60-84A9-4BA7-BCDF-484DA30DCA77}">
    <sortState xmlns:xlrd2="http://schemas.microsoft.com/office/spreadsheetml/2017/richdata2" ref="B3:K110">
      <sortCondition descending="1" ref="K3:K110"/>
    </sortState>
  </autoFilter>
  <mergeCells count="1">
    <mergeCell ref="B1:L1"/>
  </mergeCells>
  <pageMargins left="0.7" right="0.7" top="0.75" bottom="0.75" header="0.3" footer="0.3"/>
  <pageSetup scale="87" fitToHeight="0" orientation="landscape" horizontalDpi="1200" verticalDpi="1200"/>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075E-D6B5-4836-AB31-94CFACF6A3F9}">
  <sheetPr>
    <tabColor rgb="FFFF9B9B"/>
    <pageSetUpPr fitToPage="1"/>
  </sheetPr>
  <dimension ref="A1:P74"/>
  <sheetViews>
    <sheetView showGridLines="0" workbookViewId="0">
      <pane xSplit="6" ySplit="2" topLeftCell="G3" activePane="bottomRight" state="frozen"/>
      <selection pane="topRight" activeCell="AE18" sqref="AE18"/>
      <selection pane="bottomLeft" activeCell="AE18" sqref="AE18"/>
      <selection pane="bottomRight" activeCell="J7" sqref="J7"/>
    </sheetView>
  </sheetViews>
  <sheetFormatPr defaultRowHeight="14.4"/>
  <cols>
    <col min="1" max="1" width="8.88671875" style="70"/>
    <col min="2" max="2" width="24.33203125" style="70" customWidth="1"/>
    <col min="3" max="3" width="18.5546875" style="71" customWidth="1"/>
    <col min="4" max="4" width="12.5546875" style="70" customWidth="1"/>
    <col min="5" max="5" width="12.88671875" style="70" customWidth="1"/>
    <col min="6" max="6" width="22.5546875" style="70" bestFit="1" customWidth="1"/>
    <col min="7" max="7" width="10.33203125" style="70" customWidth="1"/>
    <col min="8" max="8" width="10.88671875" style="70" customWidth="1"/>
    <col min="9" max="9" width="10" style="70" customWidth="1"/>
    <col min="10" max="11" width="9.88671875" style="70" customWidth="1"/>
    <col min="12" max="12" width="8.88671875" style="70" customWidth="1"/>
    <col min="14" max="14" width="17.5546875" customWidth="1"/>
    <col min="15" max="15" width="25.88671875" customWidth="1"/>
    <col min="16" max="16" width="13" customWidth="1"/>
  </cols>
  <sheetData>
    <row r="1" spans="2:16" ht="18">
      <c r="B1" s="280" t="s">
        <v>1424</v>
      </c>
      <c r="C1" s="272"/>
      <c r="D1" s="271"/>
      <c r="E1" s="271"/>
      <c r="F1" s="271"/>
      <c r="G1" s="271"/>
      <c r="H1" s="271"/>
      <c r="I1" s="271"/>
      <c r="J1" s="271"/>
      <c r="K1" s="271"/>
      <c r="L1" s="271"/>
    </row>
    <row r="2" spans="2:16">
      <c r="B2" s="273" t="s">
        <v>444</v>
      </c>
      <c r="C2" s="274" t="s">
        <v>1004</v>
      </c>
      <c r="D2" s="273" t="s">
        <v>1416</v>
      </c>
      <c r="E2" s="273" t="s">
        <v>1002</v>
      </c>
      <c r="F2" s="273" t="s">
        <v>1003</v>
      </c>
      <c r="G2" s="273" t="s">
        <v>1417</v>
      </c>
      <c r="H2" s="273" t="s">
        <v>1418</v>
      </c>
      <c r="I2" s="273" t="s">
        <v>1419</v>
      </c>
      <c r="J2" s="273" t="s">
        <v>1420</v>
      </c>
      <c r="K2" s="273" t="s">
        <v>1425</v>
      </c>
      <c r="L2" s="273" t="s">
        <v>1404</v>
      </c>
      <c r="M2" t="s">
        <v>1402</v>
      </c>
      <c r="N2" s="273" t="s">
        <v>1426</v>
      </c>
    </row>
    <row r="3" spans="2:16">
      <c r="B3" s="470" cm="1">
        <f t="array" ref="B3">IFERROR(_xlfn._xlws.SORT(_xlfn.HSTACK(_xlfn._xlws.FILTER(RostersMaster[Team],(RostersMaster[Type]="Player")*(RostersMaster[Division]="Women")),_xlfn._xlws.FILTER(RostersMaster[Position],(RostersMaster[Type]="Player")*(RostersMaster[Division]="Women")),_xlfn._xlws.FILTER(RostersMaster[Jersey],(RostersMaster[Type]="Player")*(RostersMaster[Division]="Women")),_xlfn._xlws.FILTER(RostersMaster[First Name],(RostersMaster[Type]="Player")*(RostersMaster[Division]="Women")),_xlfn._xlws.FILTER(RostersMaster[Last Name],(RostersMaster[Type]="Player")*(RostersMaster[Division]="Women"))),{1,3},{1,1}),"")</f>
      </c>
      <c r="C3" s="471"/>
      <c r="D3" s="492"/>
      <c r="E3" s="496"/>
      <c r="F3" s="496"/>
      <c r="G3" s="456">
        <v>0</v>
      </c>
      <c r="H3" s="456">
        <v>0</v>
      </c>
      <c r="I3" s="456">
        <v>0</v>
      </c>
      <c r="J3" s="456"/>
      <c r="K3" s="456"/>
      <c r="L3" s="493">
        <f>SUM(G3:K3)</f>
      </c>
      <c r="M3" s="493">
        <f>IF($B3="","",RANK($L3,$L$3:$L$74))</f>
      </c>
      <c r="N3" s="310" t="s">
        <v>1422</v>
      </c>
      <c r="O3" s="322">
        <f>IFERROR(INDEX(Rankings!$B$17:$B$22,MATCH(MAX(Rankings!$D$17:$D$22),Rankings!$D$17:$D$22,0)),"")</f>
      </c>
      <c r="P3" s="322">
        <f>MAX(Rankings!$D$17:$D$22)&amp;" GF"</f>
      </c>
    </row>
    <row r="4" spans="2:16">
      <c r="B4" s="473"/>
      <c r="C4" s="474"/>
      <c r="D4" s="463"/>
      <c r="E4" s="475"/>
      <c r="F4" s="475"/>
      <c r="G4" s="463">
        <v>3</v>
      </c>
      <c r="H4" s="463">
        <v>3</v>
      </c>
      <c r="I4" s="463">
        <v>1</v>
      </c>
      <c r="J4" s="463"/>
      <c r="K4" s="463"/>
      <c r="L4" s="493">
        <f t="shared" ref="L4:L67" si="0">SUM(G4:K4)</f>
      </c>
      <c r="M4" s="493">
        <f t="shared" ref="M4:M67" si="1">IF($B4="","",RANK($L4,$L$3:$L$74))</f>
      </c>
      <c r="N4" s="310" t="s">
        <v>1423</v>
      </c>
      <c r="O4" s="322">
        <f>IFERROR(INDEX(Rankings!$B$17:$B$22,MATCH(MIN(Rankings!$E$17:$E$22),Rankings!$E$17:$E$22,0)),"")</f>
      </c>
      <c r="P4" s="322">
        <f>MIN(Rankings!$E$17:$E$22)&amp;" GA"</f>
      </c>
    </row>
    <row r="5" spans="2:16">
      <c r="B5" s="476"/>
      <c r="C5" s="477"/>
      <c r="D5" s="459"/>
      <c r="E5" s="478"/>
      <c r="F5" s="478"/>
      <c r="G5" s="459">
        <v>2</v>
      </c>
      <c r="H5" s="459">
        <v>0</v>
      </c>
      <c r="I5" s="459">
        <v>6</v>
      </c>
      <c r="J5" s="459"/>
      <c r="K5" s="459"/>
      <c r="L5" s="493">
        <f t="shared" si="0"/>
      </c>
      <c r="M5" s="493">
        <f t="shared" si="1"/>
      </c>
    </row>
    <row r="6" spans="2:16">
      <c r="B6" s="473"/>
      <c r="C6" s="474"/>
      <c r="D6" s="463"/>
      <c r="E6" s="475"/>
      <c r="F6" s="475"/>
      <c r="G6" s="463">
        <v>0</v>
      </c>
      <c r="H6" s="463">
        <v>0</v>
      </c>
      <c r="I6" s="463">
        <v>0</v>
      </c>
      <c r="J6" s="463"/>
      <c r="K6" s="463"/>
      <c r="L6" s="493">
        <f t="shared" si="0"/>
      </c>
      <c r="M6" s="493">
        <f t="shared" si="1"/>
      </c>
    </row>
    <row r="7" spans="2:16">
      <c r="B7" s="476"/>
      <c r="C7" s="477"/>
      <c r="D7" s="459"/>
      <c r="E7" s="478"/>
      <c r="F7" s="478"/>
      <c r="G7" s="459">
        <v>2</v>
      </c>
      <c r="H7" s="459">
        <v>2</v>
      </c>
      <c r="I7" s="459">
        <v>0</v>
      </c>
      <c r="J7" s="459"/>
      <c r="K7" s="459"/>
      <c r="L7" s="493">
        <f t="shared" si="0"/>
      </c>
      <c r="M7" s="493">
        <f t="shared" si="1"/>
      </c>
    </row>
    <row r="8" spans="2:16">
      <c r="B8" s="473"/>
      <c r="C8" s="474"/>
      <c r="D8" s="463"/>
      <c r="E8" s="475"/>
      <c r="F8" s="475"/>
      <c r="G8" s="463">
        <v>3</v>
      </c>
      <c r="H8" s="463">
        <v>0</v>
      </c>
      <c r="I8" s="463">
        <v>4</v>
      </c>
      <c r="J8" s="463"/>
      <c r="K8" s="463"/>
      <c r="L8" s="493">
        <f t="shared" si="0"/>
      </c>
      <c r="M8" s="493">
        <f t="shared" si="1"/>
      </c>
    </row>
    <row r="9" spans="2:16">
      <c r="B9" s="476"/>
      <c r="C9" s="477"/>
      <c r="D9" s="459"/>
      <c r="E9" s="478"/>
      <c r="F9" s="478"/>
      <c r="G9" s="459">
        <v>2</v>
      </c>
      <c r="H9" s="459">
        <v>1</v>
      </c>
      <c r="I9" s="459">
        <v>1</v>
      </c>
      <c r="J9" s="459"/>
      <c r="K9" s="459"/>
      <c r="L9" s="493">
        <f t="shared" si="0"/>
      </c>
      <c r="M9" s="493">
        <f t="shared" si="1"/>
      </c>
    </row>
    <row r="10" spans="2:16">
      <c r="B10" s="473"/>
      <c r="C10" s="474"/>
      <c r="D10" s="463"/>
      <c r="E10" s="475"/>
      <c r="F10" s="475"/>
      <c r="G10" s="463">
        <v>1</v>
      </c>
      <c r="H10" s="463">
        <v>1</v>
      </c>
      <c r="I10" s="463">
        <v>3</v>
      </c>
      <c r="J10" s="463"/>
      <c r="K10" s="463"/>
      <c r="L10" s="493">
        <f t="shared" si="0"/>
      </c>
      <c r="M10" s="493">
        <f t="shared" si="1"/>
      </c>
    </row>
    <row r="11" spans="2:16">
      <c r="B11" s="476"/>
      <c r="C11" s="477"/>
      <c r="D11" s="460"/>
      <c r="E11" s="480"/>
      <c r="F11" s="480"/>
      <c r="G11" s="459">
        <v>1</v>
      </c>
      <c r="H11" s="459">
        <v>0</v>
      </c>
      <c r="I11" s="459">
        <v>1</v>
      </c>
      <c r="J11" s="459"/>
      <c r="K11" s="459"/>
      <c r="L11" s="493">
        <f t="shared" si="0"/>
      </c>
      <c r="M11" s="493">
        <f t="shared" si="1"/>
      </c>
    </row>
    <row r="12" spans="2:16">
      <c r="B12" s="473"/>
      <c r="C12" s="474"/>
      <c r="D12" s="466"/>
      <c r="E12" s="479"/>
      <c r="F12" s="479"/>
      <c r="G12" s="463">
        <v>1</v>
      </c>
      <c r="H12" s="463">
        <v>3</v>
      </c>
      <c r="I12" s="463">
        <v>1</v>
      </c>
      <c r="J12" s="463"/>
      <c r="K12" s="463"/>
      <c r="L12" s="493">
        <f t="shared" si="0"/>
      </c>
      <c r="M12" s="493">
        <f t="shared" si="1"/>
      </c>
    </row>
    <row r="13" spans="2:16">
      <c r="B13" s="476"/>
      <c r="C13" s="477"/>
      <c r="D13" s="459"/>
      <c r="E13" s="478"/>
      <c r="F13" s="478"/>
      <c r="G13" s="459">
        <v>0</v>
      </c>
      <c r="H13" s="459">
        <v>3</v>
      </c>
      <c r="I13" s="459">
        <v>1</v>
      </c>
      <c r="J13" s="459"/>
      <c r="K13" s="459"/>
      <c r="L13" s="493">
        <f t="shared" si="0"/>
      </c>
      <c r="M13" s="493">
        <f t="shared" si="1"/>
      </c>
    </row>
    <row r="14" spans="2:16">
      <c r="B14" s="473"/>
      <c r="C14" s="474"/>
      <c r="D14" s="463"/>
      <c r="E14" s="475"/>
      <c r="F14" s="475"/>
      <c r="G14" s="463">
        <v>2</v>
      </c>
      <c r="H14" s="463">
        <v>4</v>
      </c>
      <c r="I14" s="463">
        <v>3</v>
      </c>
      <c r="J14" s="463"/>
      <c r="K14" s="463"/>
      <c r="L14" s="493">
        <f t="shared" si="0"/>
      </c>
      <c r="M14" s="493">
        <f t="shared" si="1"/>
      </c>
    </row>
    <row r="15" spans="2:16">
      <c r="B15" s="476"/>
      <c r="C15" s="477"/>
      <c r="D15" s="459"/>
      <c r="E15" s="478"/>
      <c r="F15" s="478"/>
      <c r="G15" s="459">
        <v>0</v>
      </c>
      <c r="H15" s="459">
        <v>0</v>
      </c>
      <c r="I15" s="459">
        <v>1</v>
      </c>
      <c r="J15" s="459"/>
      <c r="K15" s="459"/>
      <c r="L15" s="493">
        <f t="shared" si="0"/>
      </c>
      <c r="M15" s="493">
        <f t="shared" si="1"/>
      </c>
    </row>
    <row r="16" spans="2:16">
      <c r="B16" s="473"/>
      <c r="C16" s="474"/>
      <c r="D16" s="463"/>
      <c r="E16" s="475"/>
      <c r="F16" s="475"/>
      <c r="G16" s="463">
        <v>2</v>
      </c>
      <c r="H16" s="463">
        <v>5</v>
      </c>
      <c r="I16" s="463">
        <v>2</v>
      </c>
      <c r="J16" s="463"/>
      <c r="K16" s="463"/>
      <c r="L16" s="493">
        <f t="shared" si="0"/>
      </c>
      <c r="M16" s="493">
        <f t="shared" si="1"/>
      </c>
    </row>
    <row r="17" spans="2:13">
      <c r="B17" s="476"/>
      <c r="C17" s="477"/>
      <c r="D17" s="459"/>
      <c r="E17" s="478"/>
      <c r="F17" s="478"/>
      <c r="G17" s="459">
        <v>3</v>
      </c>
      <c r="H17" s="459">
        <v>2</v>
      </c>
      <c r="I17" s="459">
        <v>2</v>
      </c>
      <c r="J17" s="459"/>
      <c r="K17" s="459"/>
      <c r="L17" s="493">
        <f t="shared" si="0"/>
      </c>
      <c r="M17" s="493">
        <f t="shared" si="1"/>
      </c>
    </row>
    <row r="18" spans="2:13">
      <c r="B18" s="473"/>
      <c r="C18" s="474"/>
      <c r="D18" s="463"/>
      <c r="E18" s="475"/>
      <c r="F18" s="475"/>
      <c r="G18" s="463">
        <v>3</v>
      </c>
      <c r="H18" s="463">
        <v>5</v>
      </c>
      <c r="I18" s="463">
        <v>1</v>
      </c>
      <c r="J18" s="463"/>
      <c r="K18" s="463"/>
      <c r="L18" s="493">
        <f t="shared" si="0"/>
      </c>
      <c r="M18" s="493">
        <f t="shared" si="1"/>
      </c>
    </row>
    <row r="19" spans="2:13">
      <c r="B19" s="476"/>
      <c r="C19" s="477"/>
      <c r="D19" s="459"/>
      <c r="E19" s="478"/>
      <c r="F19" s="478"/>
      <c r="G19" s="459">
        <v>0</v>
      </c>
      <c r="H19" s="459">
        <v>0</v>
      </c>
      <c r="I19" s="459"/>
      <c r="J19" s="459"/>
      <c r="K19" s="459"/>
      <c r="L19" s="493">
        <f t="shared" si="0"/>
      </c>
      <c r="M19" s="493">
        <f t="shared" si="1"/>
      </c>
    </row>
    <row r="20" spans="2:13">
      <c r="B20" s="473"/>
      <c r="C20" s="474"/>
      <c r="D20" s="463"/>
      <c r="E20" s="475"/>
      <c r="F20" s="475"/>
      <c r="G20" s="463">
        <v>0</v>
      </c>
      <c r="H20" s="463">
        <v>3</v>
      </c>
      <c r="I20" s="463"/>
      <c r="J20" s="463"/>
      <c r="K20" s="463"/>
      <c r="L20" s="493">
        <f t="shared" si="0"/>
      </c>
      <c r="M20" s="493">
        <f t="shared" si="1"/>
      </c>
    </row>
    <row r="21" spans="2:13">
      <c r="B21" s="476"/>
      <c r="C21" s="477"/>
      <c r="D21" s="459"/>
      <c r="E21" s="478"/>
      <c r="F21" s="478"/>
      <c r="G21" s="459">
        <v>5</v>
      </c>
      <c r="H21" s="459">
        <v>0</v>
      </c>
      <c r="I21" s="459"/>
      <c r="J21" s="459"/>
      <c r="K21" s="459"/>
      <c r="L21" s="493">
        <f t="shared" si="0"/>
      </c>
      <c r="M21" s="493">
        <f t="shared" si="1"/>
      </c>
    </row>
    <row r="22" spans="2:13">
      <c r="B22" s="473"/>
      <c r="C22" s="474"/>
      <c r="D22" s="463"/>
      <c r="E22" s="475"/>
      <c r="F22" s="475"/>
      <c r="G22" s="463">
        <v>3</v>
      </c>
      <c r="H22" s="463">
        <v>3</v>
      </c>
      <c r="I22" s="463"/>
      <c r="J22" s="463"/>
      <c r="K22" s="463"/>
      <c r="L22" s="493">
        <f t="shared" si="0"/>
      </c>
      <c r="M22" s="493">
        <f t="shared" si="1"/>
      </c>
    </row>
    <row r="23" spans="2:13">
      <c r="B23" s="476"/>
      <c r="C23" s="477"/>
      <c r="D23" s="460"/>
      <c r="E23" s="480"/>
      <c r="F23" s="480"/>
      <c r="G23" s="459">
        <v>0</v>
      </c>
      <c r="H23" s="459">
        <v>1</v>
      </c>
      <c r="I23" s="459"/>
      <c r="J23" s="459"/>
      <c r="K23" s="459"/>
      <c r="L23" s="493">
        <f t="shared" si="0"/>
      </c>
      <c r="M23" s="493">
        <f t="shared" si="1"/>
      </c>
    </row>
    <row r="24" spans="2:13">
      <c r="B24" s="473"/>
      <c r="C24" s="474"/>
      <c r="D24" s="463"/>
      <c r="E24" s="475"/>
      <c r="F24" s="475"/>
      <c r="G24" s="463">
        <v>0</v>
      </c>
      <c r="H24" s="463">
        <v>0</v>
      </c>
      <c r="I24" s="463"/>
      <c r="J24" s="463"/>
      <c r="K24" s="463"/>
      <c r="L24" s="493">
        <f t="shared" si="0"/>
      </c>
      <c r="M24" s="493">
        <f t="shared" si="1"/>
      </c>
    </row>
    <row r="25" spans="2:13">
      <c r="B25" s="476"/>
      <c r="C25" s="477"/>
      <c r="D25" s="459"/>
      <c r="E25" s="478"/>
      <c r="F25" s="478"/>
      <c r="G25" s="459">
        <v>1</v>
      </c>
      <c r="H25" s="459">
        <v>2</v>
      </c>
      <c r="I25" s="459"/>
      <c r="J25" s="459"/>
      <c r="K25" s="459"/>
      <c r="L25" s="493">
        <f t="shared" si="0"/>
      </c>
      <c r="M25" s="493">
        <f t="shared" si="1"/>
      </c>
    </row>
    <row r="26" spans="2:13">
      <c r="B26" s="473"/>
      <c r="C26" s="474"/>
      <c r="D26" s="463"/>
      <c r="E26" s="475"/>
      <c r="F26" s="475"/>
      <c r="G26" s="463">
        <v>1</v>
      </c>
      <c r="H26" s="463">
        <v>3</v>
      </c>
      <c r="I26" s="463"/>
      <c r="J26" s="463"/>
      <c r="K26" s="463"/>
      <c r="L26" s="493">
        <f t="shared" si="0"/>
      </c>
      <c r="M26" s="493">
        <f t="shared" si="1"/>
      </c>
    </row>
    <row r="27" spans="2:13">
      <c r="B27" s="476"/>
      <c r="C27" s="477"/>
      <c r="D27" s="459"/>
      <c r="E27" s="478"/>
      <c r="F27" s="478"/>
      <c r="G27" s="459">
        <v>3</v>
      </c>
      <c r="H27" s="459">
        <v>2</v>
      </c>
      <c r="I27" s="459"/>
      <c r="J27" s="459"/>
      <c r="K27" s="459"/>
      <c r="L27" s="493">
        <f t="shared" si="0"/>
      </c>
      <c r="M27" s="493">
        <f t="shared" si="1"/>
      </c>
    </row>
    <row r="28" spans="2:13">
      <c r="B28" s="473"/>
      <c r="C28" s="474"/>
      <c r="D28" s="463"/>
      <c r="E28" s="475"/>
      <c r="F28" s="475"/>
      <c r="G28" s="463">
        <v>3</v>
      </c>
      <c r="H28" s="463">
        <v>0</v>
      </c>
      <c r="I28" s="463"/>
      <c r="J28" s="463"/>
      <c r="K28" s="463"/>
      <c r="L28" s="493">
        <f t="shared" si="0"/>
      </c>
      <c r="M28" s="493">
        <f t="shared" si="1"/>
      </c>
    </row>
    <row r="29" spans="2:13">
      <c r="B29" s="476"/>
      <c r="C29" s="477"/>
      <c r="D29" s="459"/>
      <c r="E29" s="478"/>
      <c r="F29" s="478"/>
      <c r="G29" s="459">
        <v>1</v>
      </c>
      <c r="H29" s="459">
        <v>2</v>
      </c>
      <c r="I29" s="459"/>
      <c r="J29" s="459"/>
      <c r="K29" s="459"/>
      <c r="L29" s="493">
        <f t="shared" si="0"/>
      </c>
      <c r="M29" s="493">
        <f t="shared" si="1"/>
      </c>
    </row>
    <row r="30" spans="2:13">
      <c r="B30" s="473"/>
      <c r="C30" s="474"/>
      <c r="D30" s="463"/>
      <c r="E30" s="475"/>
      <c r="F30" s="475"/>
      <c r="G30" s="463">
        <v>0</v>
      </c>
      <c r="H30" s="463">
        <v>2</v>
      </c>
      <c r="I30" s="463"/>
      <c r="J30" s="463"/>
      <c r="K30" s="463"/>
      <c r="L30" s="493">
        <f t="shared" si="0"/>
      </c>
      <c r="M30" s="493">
        <f t="shared" si="1"/>
      </c>
    </row>
    <row r="31" spans="2:13">
      <c r="B31" s="476"/>
      <c r="C31" s="477"/>
      <c r="D31" s="459"/>
      <c r="E31" s="478"/>
      <c r="F31" s="478"/>
      <c r="G31" s="459">
        <v>2</v>
      </c>
      <c r="H31" s="459">
        <v>2</v>
      </c>
      <c r="I31" s="459"/>
      <c r="J31" s="459"/>
      <c r="K31" s="459"/>
      <c r="L31" s="493">
        <f t="shared" si="0"/>
      </c>
      <c r="M31" s="493">
        <f t="shared" si="1"/>
      </c>
    </row>
    <row r="32" spans="2:13">
      <c r="B32" s="473"/>
      <c r="C32" s="474"/>
      <c r="D32" s="463"/>
      <c r="E32" s="475"/>
      <c r="F32" s="475"/>
      <c r="G32" s="463">
        <v>1</v>
      </c>
      <c r="H32" s="463">
        <v>1</v>
      </c>
      <c r="I32" s="463"/>
      <c r="J32" s="463"/>
      <c r="K32" s="463"/>
      <c r="L32" s="493">
        <f t="shared" si="0"/>
      </c>
      <c r="M32" s="493">
        <f t="shared" si="1"/>
      </c>
    </row>
    <row r="33" spans="2:13">
      <c r="B33" s="476"/>
      <c r="C33" s="477"/>
      <c r="D33" s="459"/>
      <c r="E33" s="478"/>
      <c r="F33" s="478"/>
      <c r="G33" s="459">
        <v>3</v>
      </c>
      <c r="H33" s="459">
        <v>0</v>
      </c>
      <c r="I33" s="459"/>
      <c r="J33" s="459"/>
      <c r="K33" s="459"/>
      <c r="L33" s="493">
        <f t="shared" si="0"/>
      </c>
      <c r="M33" s="493">
        <f t="shared" si="1"/>
      </c>
    </row>
    <row r="34" spans="2:13">
      <c r="B34" s="473"/>
      <c r="C34" s="474"/>
      <c r="D34" s="463"/>
      <c r="E34" s="475"/>
      <c r="F34" s="475"/>
      <c r="G34" s="463">
        <v>1</v>
      </c>
      <c r="H34" s="463">
        <v>1</v>
      </c>
      <c r="I34" s="463"/>
      <c r="J34" s="463"/>
      <c r="K34" s="463"/>
      <c r="L34" s="493">
        <f t="shared" si="0"/>
      </c>
      <c r="M34" s="493">
        <f t="shared" si="1"/>
      </c>
    </row>
    <row r="35" spans="2:13">
      <c r="B35" s="476"/>
      <c r="C35" s="477"/>
      <c r="D35" s="459"/>
      <c r="E35" s="478"/>
      <c r="F35" s="478"/>
      <c r="G35" s="459">
        <v>0</v>
      </c>
      <c r="H35" s="459">
        <v>0</v>
      </c>
      <c r="I35" s="459">
        <v>0</v>
      </c>
      <c r="J35" s="459"/>
      <c r="K35" s="459"/>
      <c r="L35" s="493">
        <f t="shared" si="0"/>
      </c>
      <c r="M35" s="493">
        <f t="shared" si="1"/>
      </c>
    </row>
    <row r="36" spans="2:13">
      <c r="B36" s="473"/>
      <c r="C36" s="474"/>
      <c r="D36" s="463"/>
      <c r="E36" s="475"/>
      <c r="F36" s="475"/>
      <c r="G36" s="463">
        <v>0</v>
      </c>
      <c r="H36" s="463">
        <v>2</v>
      </c>
      <c r="I36" s="463">
        <v>0</v>
      </c>
      <c r="J36" s="463"/>
      <c r="K36" s="463"/>
      <c r="L36" s="493">
        <f t="shared" si="0"/>
      </c>
      <c r="M36" s="493">
        <f t="shared" si="1"/>
      </c>
    </row>
    <row r="37" spans="2:13">
      <c r="B37" s="476"/>
      <c r="C37" s="477"/>
      <c r="D37" s="459"/>
      <c r="E37" s="478"/>
      <c r="F37" s="478"/>
      <c r="G37" s="459">
        <v>1</v>
      </c>
      <c r="H37" s="459">
        <v>1</v>
      </c>
      <c r="I37" s="459">
        <v>3</v>
      </c>
      <c r="J37" s="459"/>
      <c r="K37" s="459"/>
      <c r="L37" s="493">
        <f t="shared" si="0"/>
      </c>
      <c r="M37" s="493">
        <f t="shared" si="1"/>
      </c>
    </row>
    <row r="38" spans="2:13">
      <c r="B38" s="473"/>
      <c r="C38" s="474"/>
      <c r="D38" s="463"/>
      <c r="E38" s="475"/>
      <c r="F38" s="475"/>
      <c r="G38" s="463">
        <v>0</v>
      </c>
      <c r="H38" s="463">
        <v>3</v>
      </c>
      <c r="I38" s="463">
        <v>0</v>
      </c>
      <c r="J38" s="463"/>
      <c r="K38" s="463"/>
      <c r="L38" s="493">
        <f t="shared" si="0"/>
      </c>
      <c r="M38" s="493">
        <f t="shared" si="1"/>
      </c>
    </row>
    <row r="39" spans="2:13">
      <c r="B39" s="476"/>
      <c r="C39" s="477"/>
      <c r="D39" s="459"/>
      <c r="E39" s="478"/>
      <c r="F39" s="478"/>
      <c r="G39" s="459">
        <v>1</v>
      </c>
      <c r="H39" s="459">
        <v>2</v>
      </c>
      <c r="I39" s="459">
        <v>0</v>
      </c>
      <c r="J39" s="459"/>
      <c r="K39" s="459"/>
      <c r="L39" s="493">
        <f t="shared" si="0"/>
      </c>
      <c r="M39" s="493">
        <f t="shared" si="1"/>
      </c>
    </row>
    <row r="40" spans="2:13">
      <c r="B40" s="473"/>
      <c r="C40" s="474"/>
      <c r="D40" s="463"/>
      <c r="E40" s="475"/>
      <c r="F40" s="475"/>
      <c r="G40" s="463">
        <v>0</v>
      </c>
      <c r="H40" s="463">
        <v>0</v>
      </c>
      <c r="I40" s="463">
        <v>0</v>
      </c>
      <c r="J40" s="463"/>
      <c r="K40" s="463"/>
      <c r="L40" s="493">
        <f t="shared" si="0"/>
      </c>
      <c r="M40" s="493">
        <f t="shared" si="1"/>
      </c>
    </row>
    <row r="41" spans="2:13">
      <c r="B41" s="476"/>
      <c r="C41" s="477"/>
      <c r="D41" s="459"/>
      <c r="E41" s="478"/>
      <c r="F41" s="478"/>
      <c r="G41" s="459">
        <v>2</v>
      </c>
      <c r="H41" s="459">
        <v>1</v>
      </c>
      <c r="I41" s="459">
        <v>1</v>
      </c>
      <c r="J41" s="459"/>
      <c r="K41" s="459"/>
      <c r="L41" s="493">
        <f t="shared" si="0"/>
      </c>
      <c r="M41" s="493">
        <f t="shared" si="1"/>
      </c>
    </row>
    <row r="42" spans="2:13">
      <c r="B42" s="473"/>
      <c r="C42" s="474"/>
      <c r="D42" s="463"/>
      <c r="E42" s="475"/>
      <c r="F42" s="475"/>
      <c r="G42" s="463">
        <v>1</v>
      </c>
      <c r="H42" s="463">
        <v>2</v>
      </c>
      <c r="I42" s="463">
        <v>2</v>
      </c>
      <c r="J42" s="463"/>
      <c r="K42" s="463"/>
      <c r="L42" s="493">
        <f t="shared" si="0"/>
      </c>
      <c r="M42" s="493">
        <f t="shared" si="1"/>
      </c>
    </row>
    <row r="43" spans="2:13">
      <c r="B43" s="476"/>
      <c r="C43" s="477"/>
      <c r="D43" s="459"/>
      <c r="E43" s="478"/>
      <c r="F43" s="478"/>
      <c r="G43" s="459">
        <v>1</v>
      </c>
      <c r="H43" s="459">
        <v>4</v>
      </c>
      <c r="I43" s="459">
        <v>1</v>
      </c>
      <c r="J43" s="459"/>
      <c r="K43" s="459"/>
      <c r="L43" s="493">
        <f t="shared" si="0"/>
      </c>
      <c r="M43" s="493">
        <f t="shared" si="1"/>
      </c>
    </row>
    <row r="44" spans="2:13">
      <c r="B44" s="473"/>
      <c r="C44" s="474"/>
      <c r="D44" s="463"/>
      <c r="E44" s="475"/>
      <c r="F44" s="475"/>
      <c r="G44" s="463">
        <v>0</v>
      </c>
      <c r="H44" s="463">
        <v>0</v>
      </c>
      <c r="I44" s="463">
        <v>0</v>
      </c>
      <c r="J44" s="463"/>
      <c r="K44" s="463"/>
      <c r="L44" s="493">
        <f t="shared" si="0"/>
      </c>
      <c r="M44" s="493">
        <f t="shared" si="1"/>
      </c>
    </row>
    <row r="45" spans="2:13">
      <c r="B45" s="476"/>
      <c r="C45" s="477"/>
      <c r="D45" s="460"/>
      <c r="E45" s="480"/>
      <c r="F45" s="480"/>
      <c r="G45" s="459">
        <v>2</v>
      </c>
      <c r="H45" s="459">
        <v>2</v>
      </c>
      <c r="I45" s="459">
        <v>3</v>
      </c>
      <c r="J45" s="459"/>
      <c r="K45" s="459"/>
      <c r="L45" s="493">
        <f t="shared" si="0"/>
      </c>
      <c r="M45" s="493">
        <f t="shared" si="1"/>
      </c>
    </row>
    <row r="46" spans="2:13">
      <c r="B46" s="473"/>
      <c r="C46" s="474"/>
      <c r="D46" s="466"/>
      <c r="E46" s="479"/>
      <c r="F46" s="479"/>
      <c r="G46" s="463">
        <v>4</v>
      </c>
      <c r="H46" s="463">
        <v>1</v>
      </c>
      <c r="I46" s="463">
        <v>6</v>
      </c>
      <c r="J46" s="463"/>
      <c r="K46" s="463"/>
      <c r="L46" s="493">
        <f t="shared" si="0"/>
      </c>
      <c r="M46" s="493">
        <f t="shared" si="1"/>
      </c>
    </row>
    <row r="47" spans="2:13">
      <c r="B47" s="476"/>
      <c r="C47" s="477"/>
      <c r="D47" s="460"/>
      <c r="E47" s="480"/>
      <c r="F47" s="480"/>
      <c r="G47" s="459">
        <v>2</v>
      </c>
      <c r="H47" s="459">
        <v>2</v>
      </c>
      <c r="I47" s="459">
        <v>0</v>
      </c>
      <c r="J47" s="459"/>
      <c r="K47" s="459"/>
      <c r="L47" s="493">
        <f t="shared" si="0"/>
      </c>
      <c r="M47" s="493">
        <f t="shared" si="1"/>
      </c>
    </row>
    <row r="48" spans="2:13">
      <c r="B48" s="473"/>
      <c r="C48" s="474"/>
      <c r="D48" s="466"/>
      <c r="E48" s="479"/>
      <c r="F48" s="479"/>
      <c r="G48" s="463">
        <v>4</v>
      </c>
      <c r="H48" s="463">
        <v>1</v>
      </c>
      <c r="I48" s="463">
        <v>3</v>
      </c>
      <c r="J48" s="463"/>
      <c r="K48" s="463"/>
      <c r="L48" s="493">
        <f t="shared" si="0"/>
      </c>
      <c r="M48" s="493">
        <f t="shared" si="1"/>
      </c>
    </row>
    <row r="49" spans="2:13">
      <c r="B49" s="476"/>
      <c r="C49" s="477"/>
      <c r="D49" s="460"/>
      <c r="E49" s="480"/>
      <c r="F49" s="480"/>
      <c r="G49" s="459">
        <v>8</v>
      </c>
      <c r="H49" s="459">
        <v>4</v>
      </c>
      <c r="I49" s="459">
        <v>5</v>
      </c>
      <c r="J49" s="459"/>
      <c r="K49" s="459"/>
      <c r="L49" s="493">
        <f t="shared" si="0"/>
      </c>
      <c r="M49" s="493">
        <f t="shared" si="1"/>
      </c>
    </row>
    <row r="50" spans="2:13">
      <c r="B50" s="481"/>
      <c r="C50" s="482"/>
      <c r="D50" s="494"/>
      <c r="E50" s="497"/>
      <c r="F50" s="497"/>
      <c r="G50" s="467">
        <v>1</v>
      </c>
      <c r="H50" s="467">
        <v>3</v>
      </c>
      <c r="I50" s="467">
        <v>1</v>
      </c>
      <c r="J50" s="467"/>
      <c r="K50" s="467"/>
      <c r="L50" s="493">
        <f t="shared" si="0"/>
      </c>
      <c r="M50" s="493">
        <f t="shared" si="1"/>
      </c>
    </row>
    <row r="51" spans="2:13">
      <c r="B51" s="484"/>
      <c r="C51" s="485"/>
      <c r="D51" s="462"/>
      <c r="E51" s="491"/>
      <c r="F51" s="491"/>
      <c r="G51" s="461">
        <v>0</v>
      </c>
      <c r="H51" s="461">
        <v>0</v>
      </c>
      <c r="I51" s="461"/>
      <c r="J51" s="461"/>
      <c r="K51" s="461"/>
      <c r="L51" s="493">
        <f t="shared" si="0"/>
      </c>
      <c r="M51" s="493">
        <f t="shared" si="1"/>
      </c>
    </row>
    <row r="52" spans="2:13">
      <c r="B52" s="487"/>
      <c r="C52" s="488"/>
      <c r="D52" s="469"/>
      <c r="E52" s="490"/>
      <c r="F52" s="490"/>
      <c r="G52" s="468">
        <v>2</v>
      </c>
      <c r="H52" s="468">
        <v>1</v>
      </c>
      <c r="I52" s="468"/>
      <c r="J52" s="468"/>
      <c r="K52" s="468"/>
      <c r="L52" s="493">
        <f t="shared" si="0"/>
      </c>
      <c r="M52" s="493">
        <f t="shared" si="1"/>
      </c>
    </row>
    <row r="53" spans="2:13">
      <c r="B53" s="484"/>
      <c r="C53" s="485"/>
      <c r="D53" s="462"/>
      <c r="E53" s="491"/>
      <c r="F53" s="491"/>
      <c r="G53" s="461">
        <v>0</v>
      </c>
      <c r="H53" s="461">
        <v>0</v>
      </c>
      <c r="I53" s="461"/>
      <c r="J53" s="461"/>
      <c r="K53" s="461"/>
      <c r="L53" s="493">
        <f t="shared" si="0"/>
      </c>
      <c r="M53" s="493">
        <f t="shared" si="1"/>
      </c>
    </row>
    <row r="54" spans="2:13">
      <c r="B54" s="487"/>
      <c r="C54" s="488"/>
      <c r="D54" s="468"/>
      <c r="E54" s="489"/>
      <c r="F54" s="489"/>
      <c r="G54" s="468">
        <v>0</v>
      </c>
      <c r="H54" s="468">
        <v>2</v>
      </c>
      <c r="I54" s="468"/>
      <c r="J54" s="468"/>
      <c r="K54" s="468"/>
      <c r="L54" s="493">
        <f t="shared" si="0"/>
      </c>
      <c r="M54" s="493">
        <f t="shared" si="1"/>
      </c>
    </row>
    <row r="55" spans="2:13">
      <c r="B55" s="484"/>
      <c r="C55" s="485"/>
      <c r="D55" s="461"/>
      <c r="E55" s="486"/>
      <c r="F55" s="486"/>
      <c r="G55" s="461">
        <v>2</v>
      </c>
      <c r="H55" s="461">
        <v>1</v>
      </c>
      <c r="I55" s="461"/>
      <c r="J55" s="461"/>
      <c r="K55" s="461"/>
      <c r="L55" s="493">
        <f t="shared" si="0"/>
      </c>
      <c r="M55" s="493">
        <f t="shared" si="1"/>
      </c>
    </row>
    <row r="56" spans="2:13">
      <c r="B56" s="487"/>
      <c r="C56" s="488"/>
      <c r="D56" s="468"/>
      <c r="E56" s="489"/>
      <c r="F56" s="489"/>
      <c r="G56" s="468">
        <v>3</v>
      </c>
      <c r="H56" s="468">
        <v>1</v>
      </c>
      <c r="I56" s="468"/>
      <c r="J56" s="468"/>
      <c r="K56" s="468"/>
      <c r="L56" s="493">
        <f t="shared" si="0"/>
      </c>
      <c r="M56" s="493">
        <f t="shared" si="1"/>
      </c>
    </row>
    <row r="57" spans="2:13">
      <c r="B57" s="484"/>
      <c r="C57" s="485"/>
      <c r="D57" s="461"/>
      <c r="E57" s="486"/>
      <c r="F57" s="486"/>
      <c r="G57" s="461">
        <v>2</v>
      </c>
      <c r="H57" s="461">
        <v>1</v>
      </c>
      <c r="I57" s="461"/>
      <c r="J57" s="461"/>
      <c r="K57" s="461"/>
      <c r="L57" s="493">
        <f t="shared" si="0"/>
      </c>
      <c r="M57" s="493">
        <f t="shared" si="1"/>
      </c>
    </row>
    <row r="58" spans="2:13">
      <c r="B58" s="487"/>
      <c r="C58" s="488"/>
      <c r="D58" s="468"/>
      <c r="E58" s="489"/>
      <c r="F58" s="489"/>
      <c r="G58" s="468">
        <v>0</v>
      </c>
      <c r="H58" s="468">
        <v>1</v>
      </c>
      <c r="I58" s="468"/>
      <c r="J58" s="468"/>
      <c r="K58" s="468"/>
      <c r="L58" s="493">
        <f t="shared" si="0"/>
      </c>
      <c r="M58" s="493">
        <f t="shared" si="1"/>
      </c>
    </row>
    <row r="59" spans="2:13">
      <c r="B59" s="484"/>
      <c r="C59" s="485"/>
      <c r="D59" s="461"/>
      <c r="E59" s="486"/>
      <c r="F59" s="486"/>
      <c r="G59" s="461">
        <v>5</v>
      </c>
      <c r="H59" s="461">
        <v>1</v>
      </c>
      <c r="I59" s="461"/>
      <c r="J59" s="461"/>
      <c r="K59" s="461"/>
      <c r="L59" s="493">
        <f t="shared" si="0"/>
      </c>
      <c r="M59" s="493">
        <f t="shared" si="1"/>
      </c>
    </row>
    <row r="60" spans="2:13">
      <c r="B60" s="487"/>
      <c r="C60" s="488"/>
      <c r="D60" s="468"/>
      <c r="E60" s="489"/>
      <c r="F60" s="489"/>
      <c r="G60" s="468">
        <v>3</v>
      </c>
      <c r="H60" s="468">
        <v>3</v>
      </c>
      <c r="I60" s="468"/>
      <c r="J60" s="468"/>
      <c r="K60" s="468"/>
      <c r="L60" s="493">
        <f t="shared" si="0"/>
      </c>
      <c r="M60" s="493">
        <f t="shared" si="1"/>
      </c>
    </row>
    <row r="61" spans="2:13">
      <c r="B61" s="484"/>
      <c r="C61" s="485"/>
      <c r="D61" s="461"/>
      <c r="E61" s="486"/>
      <c r="F61" s="486"/>
      <c r="G61" s="461">
        <v>0</v>
      </c>
      <c r="H61" s="461">
        <v>1</v>
      </c>
      <c r="I61" s="461"/>
      <c r="J61" s="461"/>
      <c r="K61" s="461"/>
      <c r="L61" s="493">
        <f t="shared" si="0"/>
      </c>
      <c r="M61" s="493">
        <f t="shared" si="1"/>
      </c>
    </row>
    <row r="62" spans="2:13">
      <c r="B62" s="487"/>
      <c r="C62" s="488"/>
      <c r="D62" s="468"/>
      <c r="E62" s="489"/>
      <c r="F62" s="489"/>
      <c r="G62" s="468">
        <v>1</v>
      </c>
      <c r="H62" s="468">
        <v>2</v>
      </c>
      <c r="I62" s="468"/>
      <c r="J62" s="468"/>
      <c r="K62" s="468"/>
      <c r="L62" s="493">
        <f t="shared" si="0"/>
      </c>
      <c r="M62" s="493">
        <f t="shared" si="1"/>
      </c>
    </row>
    <row r="63" spans="2:13">
      <c r="B63" s="484"/>
      <c r="C63" s="485"/>
      <c r="D63" s="461"/>
      <c r="E63" s="486"/>
      <c r="F63" s="486"/>
      <c r="G63" s="461">
        <v>1</v>
      </c>
      <c r="H63" s="461">
        <v>1</v>
      </c>
      <c r="I63" s="461"/>
      <c r="J63" s="461"/>
      <c r="K63" s="461"/>
      <c r="L63" s="493">
        <f t="shared" si="0"/>
      </c>
      <c r="M63" s="493">
        <f t="shared" si="1"/>
      </c>
    </row>
    <row r="64" spans="2:13">
      <c r="B64" s="487"/>
      <c r="C64" s="488"/>
      <c r="D64" s="468"/>
      <c r="E64" s="489"/>
      <c r="F64" s="489"/>
      <c r="G64" s="468">
        <v>1</v>
      </c>
      <c r="H64" s="468">
        <v>6</v>
      </c>
      <c r="I64" s="468"/>
      <c r="J64" s="468"/>
      <c r="K64" s="468"/>
      <c r="L64" s="493">
        <f t="shared" si="0"/>
      </c>
      <c r="M64" s="493">
        <f t="shared" si="1"/>
      </c>
    </row>
    <row r="65" spans="2:13">
      <c r="B65" s="484"/>
      <c r="C65" s="485"/>
      <c r="D65" s="461"/>
      <c r="E65" s="486"/>
      <c r="F65" s="486"/>
      <c r="G65" s="461">
        <v>2</v>
      </c>
      <c r="H65" s="461">
        <v>0</v>
      </c>
      <c r="I65" s="461"/>
      <c r="J65" s="461"/>
      <c r="K65" s="461"/>
      <c r="L65" s="493">
        <f t="shared" si="0"/>
      </c>
      <c r="M65" s="493">
        <f t="shared" si="1"/>
      </c>
    </row>
    <row r="66" spans="2:13">
      <c r="B66" s="487"/>
      <c r="C66" s="488"/>
      <c r="D66" s="468"/>
      <c r="E66" s="489"/>
      <c r="F66" s="489"/>
      <c r="G66" s="468">
        <v>1</v>
      </c>
      <c r="H66" s="468">
        <v>0</v>
      </c>
      <c r="I66" s="468"/>
      <c r="J66" s="468"/>
      <c r="K66" s="468"/>
      <c r="L66" s="493">
        <f t="shared" si="0"/>
      </c>
      <c r="M66" s="493">
        <f t="shared" si="1"/>
      </c>
    </row>
    <row r="67" spans="2:13">
      <c r="B67" s="484"/>
      <c r="C67" s="485"/>
      <c r="D67" s="461"/>
      <c r="E67" s="486"/>
      <c r="F67" s="486"/>
      <c r="G67" s="461"/>
      <c r="H67" s="461"/>
      <c r="I67" s="461"/>
      <c r="J67" s="461"/>
      <c r="K67" s="461"/>
      <c r="L67" s="493">
        <f t="shared" si="0"/>
      </c>
      <c r="M67" s="493">
        <f t="shared" si="1"/>
      </c>
    </row>
    <row r="68" spans="2:13">
      <c r="B68" s="487"/>
      <c r="C68" s="488"/>
      <c r="D68" s="468"/>
      <c r="E68" s="489"/>
      <c r="F68" s="489"/>
      <c r="G68" s="468"/>
      <c r="H68" s="468"/>
      <c r="I68" s="468"/>
      <c r="J68" s="468"/>
      <c r="K68" s="468"/>
      <c r="L68" s="493">
        <f t="shared" ref="L68:L74" si="2">SUM(G68:K68)</f>
      </c>
      <c r="M68" s="493">
        <f t="shared" ref="M68:M74" si="3">IF($B68="","",RANK($L68,$L$3:$L$74))</f>
      </c>
    </row>
    <row r="69" spans="2:13">
      <c r="B69" s="484"/>
      <c r="C69" s="485"/>
      <c r="D69" s="461"/>
      <c r="E69" s="486"/>
      <c r="F69" s="486"/>
      <c r="G69" s="461"/>
      <c r="H69" s="461"/>
      <c r="I69" s="461"/>
      <c r="J69" s="461"/>
      <c r="K69" s="461"/>
      <c r="L69" s="493">
        <f t="shared" si="2"/>
      </c>
      <c r="M69" s="493">
        <f t="shared" si="3"/>
      </c>
    </row>
    <row r="70" spans="2:13">
      <c r="B70" s="487"/>
      <c r="C70" s="488"/>
      <c r="D70" s="468"/>
      <c r="E70" s="489"/>
      <c r="F70" s="489"/>
      <c r="G70" s="468"/>
      <c r="H70" s="468"/>
      <c r="I70" s="468"/>
      <c r="J70" s="468"/>
      <c r="K70" s="468"/>
      <c r="L70" s="493">
        <f t="shared" si="2"/>
      </c>
      <c r="M70" s="493">
        <f t="shared" si="3"/>
      </c>
    </row>
    <row r="71" spans="2:13">
      <c r="B71" s="484"/>
      <c r="C71" s="485"/>
      <c r="D71" s="461"/>
      <c r="E71" s="486"/>
      <c r="F71" s="486"/>
      <c r="G71" s="461"/>
      <c r="H71" s="461"/>
      <c r="I71" s="461"/>
      <c r="J71" s="461"/>
      <c r="K71" s="461"/>
      <c r="L71" s="493">
        <f t="shared" si="2"/>
      </c>
      <c r="M71" s="493">
        <f t="shared" si="3"/>
      </c>
    </row>
    <row r="72" spans="2:13">
      <c r="B72" s="487"/>
      <c r="C72" s="488"/>
      <c r="D72" s="468"/>
      <c r="E72" s="489"/>
      <c r="F72" s="489"/>
      <c r="G72" s="468"/>
      <c r="H72" s="468"/>
      <c r="I72" s="468"/>
      <c r="J72" s="468"/>
      <c r="K72" s="468"/>
      <c r="L72" s="493">
        <f t="shared" si="2"/>
      </c>
      <c r="M72" s="493">
        <f t="shared" si="3"/>
      </c>
    </row>
    <row r="73" spans="2:13">
      <c r="B73" s="484"/>
      <c r="C73" s="485"/>
      <c r="D73" s="461"/>
      <c r="E73" s="486"/>
      <c r="F73" s="486"/>
      <c r="G73" s="461"/>
      <c r="H73" s="461"/>
      <c r="I73" s="461"/>
      <c r="J73" s="461"/>
      <c r="K73" s="461"/>
      <c r="L73" s="493">
        <f t="shared" si="2"/>
      </c>
      <c r="M73" s="493">
        <f t="shared" si="3"/>
      </c>
    </row>
    <row r="74" spans="2:13">
      <c r="B74" s="498"/>
      <c r="C74" s="499"/>
      <c r="D74" s="495"/>
      <c r="E74" s="500"/>
      <c r="F74" s="500"/>
      <c r="G74" s="495"/>
      <c r="H74" s="495"/>
      <c r="I74" s="495"/>
      <c r="J74" s="495"/>
      <c r="K74" s="495"/>
      <c r="L74" s="493">
        <f t="shared" si="2"/>
      </c>
      <c r="M74" s="493">
        <f t="shared" si="3"/>
      </c>
    </row>
  </sheetData>
  <autoFilter ref="B2:L74" xr:uid="{93C6E554-01B8-40ED-BF44-85DEA158352A}"/>
  <pageMargins left="0.7" right="0.7" top="0.75" bottom="0.75" header="0.3" footer="0.3"/>
  <pageSetup scale="32" fitToHeight="0" orientation="landscape" horizontalDpi="1200" verticalDpi="1200"/>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C1A41-7BA0-4055-9ED9-BE5370A51F92}">
  <sheetPr>
    <tabColor rgb="FFFF9B9B"/>
  </sheetPr>
  <dimension ref="A1:G26"/>
  <sheetViews>
    <sheetView topLeftCell="A3" workbookViewId="0">
      <selection activeCell="C16" sqref="C16"/>
    </sheetView>
  </sheetViews>
  <sheetFormatPr defaultRowHeight="14.4"/>
  <cols>
    <col min="1" max="1" width="7.44140625" bestFit="1" customWidth="1"/>
    <col min="2" max="2" width="21.33203125" bestFit="1" customWidth="1"/>
    <col min="3" max="3" width="13.33203125" bestFit="1" customWidth="1"/>
    <col min="4" max="4" width="18.109375" bestFit="1" customWidth="1"/>
    <col min="5" max="5" width="7.5546875" bestFit="1" customWidth="1"/>
    <col min="6" max="6" width="19.109375" bestFit="1" customWidth="1"/>
    <col min="7" max="7" width="31.6640625" bestFit="1" customWidth="1"/>
  </cols>
  <sheetData>
    <row r="1" spans="1:7" ht="21">
      <c r="A1" s="842" t="s">
        <v>1427</v>
      </c>
      <c r="B1" s="837"/>
      <c r="C1" s="837"/>
      <c r="D1" s="837"/>
      <c r="E1" s="837"/>
      <c r="F1" s="837"/>
      <c r="G1" s="837"/>
    </row>
    <row r="2" spans="1:7">
      <c r="A2" s="805" t="s">
        <v>1428</v>
      </c>
    </row>
    <row r="3" spans="1:7">
      <c r="A3" s="257" t="s">
        <v>1429</v>
      </c>
      <c r="B3" s="257" t="s">
        <v>1430</v>
      </c>
      <c r="C3" s="257" t="s">
        <v>528</v>
      </c>
      <c r="D3" s="257" t="s">
        <v>444</v>
      </c>
      <c r="E3" s="257" t="s">
        <v>458</v>
      </c>
      <c r="F3" s="257" t="s">
        <v>1431</v>
      </c>
      <c r="G3" s="257" t="s">
        <v>1007</v>
      </c>
    </row>
    <row r="4" spans="1:7">
      <c r="A4" s="843" t="s">
        <v>1432</v>
      </c>
      <c r="B4" s="837"/>
      <c r="C4" s="837"/>
      <c r="D4" s="837"/>
      <c r="E4" s="837"/>
      <c r="F4" s="837"/>
      <c r="G4" s="837"/>
    </row>
    <row r="5" spans="1:7">
      <c r="A5" t="s">
        <v>1433</v>
      </c>
      <c r="B5">
        <f>IFERROR(INDEX('Referees Master'!$B$4:$B$13,1),"")</f>
      </c>
      <c r="C5" t="s">
        <v>1434</v>
      </c>
      <c r="E5" t="s">
        <v>1435</v>
      </c>
      <c r="F5" t="s">
        <v>1435</v>
      </c>
    </row>
    <row r="6" spans="1:7">
      <c r="A6" t="s">
        <v>1436</v>
      </c>
      <c r="B6">
        <f>IFERROR(INDEX('Referees Master'!$B$4:$B$13,2),"")</f>
      </c>
      <c r="C6" t="s">
        <v>1434</v>
      </c>
      <c r="E6" t="s">
        <v>1435</v>
      </c>
      <c r="F6" t="s">
        <v>1435</v>
      </c>
    </row>
    <row r="7" spans="1:7">
      <c r="A7" t="s">
        <v>1437</v>
      </c>
      <c r="B7">
        <f>IFERROR(INDEX('Referees Master'!$B$4:$B$13,3),"")</f>
      </c>
      <c r="C7" t="s">
        <v>1434</v>
      </c>
      <c r="E7" t="s">
        <v>1435</v>
      </c>
      <c r="F7" t="s">
        <v>1435</v>
      </c>
    </row>
    <row r="8" spans="1:7">
      <c r="A8" t="s">
        <v>1438</v>
      </c>
      <c r="B8">
        <f>IFERROR(INDEX('Referees Master'!$B$4:$B$13,4),"")</f>
      </c>
      <c r="C8" t="s">
        <v>1434</v>
      </c>
      <c r="E8" t="s">
        <v>1435</v>
      </c>
      <c r="F8" t="s">
        <v>1435</v>
      </c>
    </row>
    <row r="9" spans="1:7">
      <c r="A9" t="s">
        <v>1439</v>
      </c>
      <c r="B9">
        <f>IFERROR(INDEX('Referees Master'!$B$4:$B$13,5),"")</f>
      </c>
      <c r="C9" t="s">
        <v>1434</v>
      </c>
      <c r="E9" t="s">
        <v>1435</v>
      </c>
      <c r="F9" t="s">
        <v>1435</v>
      </c>
    </row>
    <row r="10" spans="1:7">
      <c r="A10" t="s">
        <v>1440</v>
      </c>
      <c r="B10">
        <f>IFERROR(INDEX('Referees Master'!$B$4:$B$13,6),"")</f>
      </c>
      <c r="C10" t="s">
        <v>1434</v>
      </c>
      <c r="E10" t="s">
        <v>1435</v>
      </c>
      <c r="F10" t="s">
        <v>1435</v>
      </c>
    </row>
    <row r="11" spans="1:7">
      <c r="A11" t="s">
        <v>1441</v>
      </c>
      <c r="B11">
        <f>IFERROR(INDEX('Referees Master'!$B$4:$B$13,7),"")</f>
      </c>
      <c r="C11" t="s">
        <v>1434</v>
      </c>
      <c r="E11" t="s">
        <v>1435</v>
      </c>
      <c r="F11" t="s">
        <v>1435</v>
      </c>
    </row>
    <row r="12" spans="1:7">
      <c r="A12" t="s">
        <v>1442</v>
      </c>
      <c r="B12">
        <f>IFERROR(INDEX('Referees Master'!$B$4:$B$13,8),"")</f>
      </c>
      <c r="C12" t="s">
        <v>1434</v>
      </c>
      <c r="E12" t="s">
        <v>1435</v>
      </c>
      <c r="F12" t="s">
        <v>1435</v>
      </c>
    </row>
    <row r="13" spans="1:7">
      <c r="A13" s="324" t="s">
        <v>1443</v>
      </c>
    </row>
    <row r="14" spans="1:7">
      <c r="A14" t="s">
        <v>1444</v>
      </c>
      <c r="B14">
        <f>IFERROR(INDEX('Rosters Master'!$M$2:$M$261,MATCH("HAR|Official A",'Rosters Master'!$N$2:$N$261,0)),"")</f>
      </c>
      <c r="C14" t="s">
        <v>1445</v>
      </c>
      <c r="D14" t="s">
        <v>472</v>
      </c>
      <c r="E14" t="s">
        <v>1446</v>
      </c>
      <c r="F14" t="s">
        <v>1447</v>
      </c>
      <c r="G14" t="s">
        <v>1448</v>
      </c>
    </row>
    <row r="15" spans="1:7">
      <c r="A15" t="s">
        <v>1449</v>
      </c>
      <c r="B15">
        <f>IFERROR(INDEX('Rosters Master'!$M$2:$M$261,MATCH("MES|Official A",'Rosters Master'!$N$2:$N$261,0)),"")</f>
      </c>
      <c r="C15" t="s">
        <v>1445</v>
      </c>
      <c r="D15" t="s">
        <v>477</v>
      </c>
      <c r="E15" t="s">
        <v>1446</v>
      </c>
      <c r="F15" t="s">
        <v>1447</v>
      </c>
      <c r="G15" t="s">
        <v>1450</v>
      </c>
    </row>
    <row r="16" spans="1:7">
      <c r="A16" t="s">
        <v>1451</v>
      </c>
      <c r="B16">
        <f>IFERROR(INDEX('Rosters Master'!$M$2:$M$261,MATCH("RED|Official A",'Rosters Master'!$N$2:$N$261,0)),"")</f>
      </c>
      <c r="C16" t="s">
        <v>1445</v>
      </c>
      <c r="D16" t="s">
        <v>481</v>
      </c>
      <c r="E16" t="s">
        <v>1446</v>
      </c>
      <c r="F16" t="s">
        <v>1447</v>
      </c>
      <c r="G16" t="s">
        <v>1452</v>
      </c>
    </row>
    <row r="17" spans="1:7">
      <c r="A17" t="s">
        <v>1453</v>
      </c>
      <c r="B17">
        <f>IFERROR(INDEX('Rosters Master'!$M$2:$M$261,MATCH("PAC|Official A",'Rosters Master'!$N$2:$N$261,0)),"")</f>
      </c>
      <c r="C17" t="s">
        <v>1445</v>
      </c>
      <c r="D17" t="s">
        <v>485</v>
      </c>
      <c r="E17" t="s">
        <v>1446</v>
      </c>
      <c r="F17" t="s">
        <v>1447</v>
      </c>
      <c r="G17" t="s">
        <v>1454</v>
      </c>
    </row>
    <row r="18" spans="1:7">
      <c r="A18" t="s">
        <v>1455</v>
      </c>
      <c r="B18">
        <f>IFERROR(INDEX('Rosters Master'!$M$2:$M$261,MATCH("SUM|Official A",'Rosters Master'!$N$2:$N$261,0)),"")</f>
      </c>
      <c r="C18" t="s">
        <v>1445</v>
      </c>
      <c r="D18" t="s">
        <v>490</v>
      </c>
      <c r="E18" t="s">
        <v>1446</v>
      </c>
      <c r="F18" t="s">
        <v>1447</v>
      </c>
      <c r="G18" t="s">
        <v>1456</v>
      </c>
    </row>
    <row r="19" spans="1:7">
      <c r="A19" t="s">
        <v>1457</v>
      </c>
      <c r="B19">
        <f>IFERROR(INDEX('Rosters Master'!$M$2:$M$261,MATCH("LAK|Official A",'Rosters Master'!$N$2:$N$261,0)),"")</f>
      </c>
      <c r="C19" t="s">
        <v>1445</v>
      </c>
      <c r="D19" t="s">
        <v>495</v>
      </c>
      <c r="E19" t="s">
        <v>1446</v>
      </c>
      <c r="F19" t="s">
        <v>1447</v>
      </c>
      <c r="G19" t="s">
        <v>1458</v>
      </c>
    </row>
    <row r="20" spans="1:7">
      <c r="A20" t="s">
        <v>1459</v>
      </c>
      <c r="B20">
        <f>IFERROR(INDEX('Rosters Master'!$M$2:$M$261,MATCH("CAN|Official A",'Rosters Master'!$N$2:$N$261,0)),"")</f>
      </c>
      <c r="C20" t="s">
        <v>1445</v>
      </c>
      <c r="D20" t="s">
        <v>499</v>
      </c>
      <c r="E20" t="s">
        <v>1446</v>
      </c>
      <c r="F20" t="s">
        <v>1447</v>
      </c>
      <c r="G20" t="s">
        <v>1460</v>
      </c>
    </row>
    <row r="21" spans="1:7">
      <c r="A21" t="s">
        <v>1461</v>
      </c>
      <c r="B21">
        <f>IFERROR(INDEX('Rosters Master'!$M$2:$M$261,MATCH("NOR|Official A",'Rosters Master'!$N$2:$N$261,0)),"")</f>
      </c>
      <c r="C21" t="s">
        <v>1445</v>
      </c>
      <c r="D21" t="s">
        <v>504</v>
      </c>
      <c r="E21" t="s">
        <v>1446</v>
      </c>
      <c r="F21" t="s">
        <v>1447</v>
      </c>
      <c r="G21" t="s">
        <v>1462</v>
      </c>
    </row>
    <row r="22" spans="1:7">
      <c r="A22" t="s">
        <v>1463</v>
      </c>
      <c r="B22">
        <f>IFERROR(INDEX('Rosters Master'!$M$2:$M$261,MATCH("HARW|Official A",'Rosters Master'!$N$2:$N$261,0)),"")</f>
      </c>
      <c r="C22" t="s">
        <v>1445</v>
      </c>
      <c r="D22" t="s">
        <v>508</v>
      </c>
      <c r="E22" t="s">
        <v>107</v>
      </c>
      <c r="F22" t="s">
        <v>1447</v>
      </c>
      <c r="G22" t="s">
        <v>1464</v>
      </c>
    </row>
    <row r="23" spans="1:7">
      <c r="A23" t="s">
        <v>1465</v>
      </c>
      <c r="B23">
        <f>IFERROR(INDEX('Rosters Master'!$M$2:$M$261,MATCH("REDW|Official A",'Rosters Master'!$N$2:$N$261,0)),"")</f>
      </c>
      <c r="C23" t="s">
        <v>1445</v>
      </c>
      <c r="D23" t="s">
        <v>511</v>
      </c>
      <c r="E23" t="s">
        <v>107</v>
      </c>
      <c r="F23" t="s">
        <v>1447</v>
      </c>
      <c r="G23" t="s">
        <v>1466</v>
      </c>
    </row>
    <row r="24" spans="1:7">
      <c r="A24" t="s">
        <v>1467</v>
      </c>
      <c r="B24">
        <f>IFERROR(INDEX('Rosters Master'!$M$2:$M$261,MATCH("DES|Official A",'Rosters Master'!$N$2:$N$261,0)),"")</f>
      </c>
      <c r="C24" t="s">
        <v>1445</v>
      </c>
      <c r="D24" t="s">
        <v>514</v>
      </c>
      <c r="E24" t="s">
        <v>107</v>
      </c>
      <c r="F24" t="s">
        <v>1447</v>
      </c>
      <c r="G24" t="s">
        <v>1468</v>
      </c>
    </row>
    <row r="25" spans="1:7">
      <c r="A25" t="s">
        <v>1469</v>
      </c>
      <c r="B25">
        <f>IFERROR(INDEX('Rosters Master'!$M$2:$M$261,MATCH("BAY|Official A",'Rosters Master'!$N$2:$N$261,0)),"")</f>
      </c>
      <c r="C25" t="s">
        <v>1445</v>
      </c>
      <c r="D25" t="s">
        <v>517</v>
      </c>
      <c r="E25" t="s">
        <v>107</v>
      </c>
      <c r="F25" t="s">
        <v>1447</v>
      </c>
      <c r="G25" t="s">
        <v>1470</v>
      </c>
    </row>
    <row r="26" spans="1:7">
      <c r="A26" t="s">
        <v>1471</v>
      </c>
      <c r="B26">
        <f>IFERROR(INDEX('Rosters Master'!$M$2:$M$261,MATCH("TBD|Official A",'Rosters Master'!$N$2:$N$261,0)),"")</f>
      </c>
      <c r="C26" t="s">
        <v>1445</v>
      </c>
      <c r="D26" t="s">
        <v>1472</v>
      </c>
      <c r="E26" t="s">
        <v>107</v>
      </c>
      <c r="F26" t="s">
        <v>1447</v>
      </c>
      <c r="G26" t="s">
        <v>1473</v>
      </c>
    </row>
  </sheetData>
  <mergeCells count="2">
    <mergeCell ref="A1:G1"/>
    <mergeCell ref="A4:G4"/>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459DE-F296-47FB-8AD0-1CF942BD7B21}">
  <sheetPr>
    <tabColor rgb="FFFF9B9B"/>
  </sheetPr>
  <dimension ref="A1:F40"/>
  <sheetViews>
    <sheetView workbookViewId="0"/>
  </sheetViews>
  <sheetFormatPr defaultRowHeight="14.4"/>
  <cols>
    <col min="1" max="1" width="24.109375" customWidth="1"/>
    <col min="2" max="2" width="15.6640625" customWidth="1"/>
    <col min="3" max="3" width="27.6640625" customWidth="1"/>
    <col min="4" max="4" width="24.109375" customWidth="1"/>
    <col min="5" max="5" width="33.33203125" customWidth="1"/>
    <col min="6" max="6" width="48.109375" customWidth="1"/>
  </cols>
  <sheetData>
    <row r="1" spans="1:6">
      <c r="A1" s="28" t="s">
        <v>444</v>
      </c>
      <c r="B1" s="28" t="s">
        <v>1474</v>
      </c>
      <c r="C1" s="28" t="s">
        <v>1009</v>
      </c>
      <c r="D1" s="28" t="s">
        <v>1475</v>
      </c>
      <c r="E1" s="28" t="s">
        <v>525</v>
      </c>
      <c r="F1" s="28" t="s">
        <v>1476</v>
      </c>
    </row>
    <row r="2" spans="1:6">
      <c r="A2" s="322" cm="1">
        <f t="array" ref="A2">IFERROR(_xlfn._xlws.FILTER(CHOOSE({1,2,3,4,5},RostersMaster[Team],RostersMaster[Role / Official],RostersMaster[Full Name],IF(RostersMaster[WhatsApp]="","",RostersMaster[WhatsApp]),IF(RostersMaster[Email]="","",RostersMaster[Email])),(RostersMaster[Type]="Official")*(RostersMaster[Full Name]&lt;&gt;"")),"No officials yet")</f>
      </c>
      <c r="B2" s="322"/>
      <c r="C2" s="322"/>
      <c r="D2" s="319"/>
      <c r="E2" s="319"/>
      <c r="F2" s="194"/>
    </row>
    <row r="3" spans="1:6">
      <c r="A3" s="322"/>
      <c r="B3" s="322"/>
      <c r="C3" s="322"/>
      <c r="D3" s="319"/>
      <c r="E3" s="319"/>
      <c r="F3" s="194"/>
    </row>
    <row r="4" spans="1:6">
      <c r="A4" s="322"/>
      <c r="B4" s="322"/>
      <c r="C4" s="322"/>
      <c r="D4" s="319"/>
      <c r="E4" s="319"/>
      <c r="F4" s="194"/>
    </row>
    <row r="5" spans="1:6">
      <c r="A5" s="322"/>
      <c r="B5" s="322"/>
      <c r="C5" s="322"/>
      <c r="D5" s="319"/>
      <c r="E5" s="319"/>
      <c r="F5" s="194"/>
    </row>
    <row r="6" spans="1:6">
      <c r="A6" s="322"/>
      <c r="B6" s="322"/>
      <c r="C6" s="322"/>
      <c r="D6" s="319"/>
      <c r="E6" s="319"/>
      <c r="F6" s="194"/>
    </row>
    <row r="7" spans="1:6">
      <c r="A7" s="322"/>
      <c r="B7" s="322"/>
      <c r="C7" s="322"/>
      <c r="D7" s="319"/>
      <c r="E7" s="319"/>
      <c r="F7" s="194"/>
    </row>
    <row r="8" spans="1:6">
      <c r="A8" s="322"/>
      <c r="B8" s="322"/>
      <c r="C8" s="322"/>
      <c r="D8" s="319"/>
      <c r="E8" s="319"/>
      <c r="F8" s="194"/>
    </row>
    <row r="9" spans="1:6">
      <c r="A9" s="322"/>
      <c r="B9" s="322"/>
      <c r="C9" s="322"/>
      <c r="D9" s="319"/>
      <c r="E9" s="319"/>
      <c r="F9" s="194"/>
    </row>
    <row r="10" spans="1:6">
      <c r="A10" s="322"/>
      <c r="B10" s="322"/>
      <c r="C10" s="322"/>
      <c r="D10" s="319"/>
      <c r="E10" s="319"/>
      <c r="F10" s="194"/>
    </row>
    <row r="11" spans="1:6">
      <c r="A11" s="322"/>
      <c r="B11" s="322"/>
      <c r="C11" s="322"/>
      <c r="D11" s="319"/>
      <c r="E11" s="319"/>
      <c r="F11" s="194"/>
    </row>
    <row r="12" spans="1:6">
      <c r="A12" s="322"/>
      <c r="B12" s="322"/>
      <c r="C12" s="322"/>
      <c r="D12" s="319"/>
      <c r="E12" s="319"/>
      <c r="F12" s="194"/>
    </row>
    <row r="13" spans="1:6">
      <c r="A13" s="322"/>
      <c r="B13" s="322"/>
      <c r="C13" s="322"/>
      <c r="D13" s="319"/>
      <c r="E13" s="319"/>
      <c r="F13" s="194"/>
    </row>
    <row r="14" spans="1:6">
      <c r="A14" s="322"/>
      <c r="B14" s="322"/>
      <c r="C14" s="322"/>
      <c r="D14" s="319"/>
      <c r="E14" s="319"/>
      <c r="F14" s="194"/>
    </row>
    <row r="15" spans="1:6">
      <c r="A15" s="322"/>
      <c r="B15" s="322"/>
      <c r="C15" s="322"/>
      <c r="D15" s="319"/>
      <c r="E15" s="319"/>
      <c r="F15" s="194"/>
    </row>
    <row r="16" spans="1:6">
      <c r="A16" s="322"/>
      <c r="B16" s="322"/>
      <c r="C16" s="322"/>
      <c r="D16" s="319"/>
      <c r="E16" s="319"/>
      <c r="F16" s="194"/>
    </row>
    <row r="17" spans="1:6">
      <c r="A17" s="322"/>
      <c r="B17" s="322"/>
      <c r="C17" s="322"/>
      <c r="D17" s="319"/>
      <c r="E17" s="319"/>
      <c r="F17" s="194"/>
    </row>
    <row r="18" spans="1:6">
      <c r="A18" s="322"/>
      <c r="B18" s="322"/>
      <c r="C18" s="322"/>
      <c r="D18" s="319"/>
      <c r="E18" s="319"/>
      <c r="F18" s="194"/>
    </row>
    <row r="19" spans="1:6">
      <c r="A19" s="322"/>
      <c r="B19" s="322"/>
      <c r="C19" s="322"/>
      <c r="D19" s="319"/>
      <c r="E19" s="319"/>
      <c r="F19" s="194"/>
    </row>
    <row r="20" spans="1:6">
      <c r="A20" s="322"/>
      <c r="B20" s="322"/>
      <c r="C20" s="322"/>
      <c r="D20" s="319"/>
      <c r="E20" s="319"/>
      <c r="F20" s="194"/>
    </row>
    <row r="21" spans="1:6">
      <c r="A21" s="322"/>
      <c r="B21" s="322"/>
      <c r="C21" s="322"/>
      <c r="D21" s="319"/>
      <c r="E21" s="319"/>
      <c r="F21" s="194"/>
    </row>
    <row r="22" spans="1:6">
      <c r="A22" s="322"/>
      <c r="B22" s="322"/>
      <c r="C22" s="322"/>
      <c r="D22" s="319"/>
      <c r="E22" s="319"/>
      <c r="F22" s="194"/>
    </row>
    <row r="23" spans="1:6">
      <c r="A23" s="322"/>
      <c r="B23" s="322"/>
      <c r="C23" s="322"/>
      <c r="D23" s="322"/>
      <c r="E23" s="322"/>
      <c r="F23" s="194"/>
    </row>
    <row r="24" spans="1:6">
      <c r="A24" s="322"/>
      <c r="B24" s="322"/>
      <c r="C24" s="322"/>
      <c r="D24" s="322"/>
      <c r="E24" s="322"/>
      <c r="F24" s="194"/>
    </row>
    <row r="25" spans="1:6">
      <c r="A25" s="322"/>
      <c r="B25" s="322"/>
      <c r="C25" s="322"/>
      <c r="D25" s="322"/>
      <c r="E25" s="322"/>
      <c r="F25" s="194"/>
    </row>
    <row r="26" spans="1:6">
      <c r="A26" s="322"/>
      <c r="B26" s="322"/>
      <c r="C26" s="322"/>
      <c r="D26" s="322"/>
      <c r="E26" s="322"/>
      <c r="F26" s="194"/>
    </row>
    <row r="27" spans="1:6">
      <c r="A27" s="322"/>
      <c r="B27" s="322"/>
      <c r="C27" s="322"/>
      <c r="D27" s="322"/>
      <c r="E27" s="322"/>
      <c r="F27" s="194"/>
    </row>
    <row r="28" spans="1:6">
      <c r="A28" s="322"/>
      <c r="B28" s="322"/>
      <c r="C28" s="322"/>
      <c r="D28" s="322"/>
      <c r="E28" s="322"/>
      <c r="F28" s="194"/>
    </row>
    <row r="29" spans="1:6">
      <c r="A29" s="322"/>
      <c r="B29" s="322"/>
      <c r="C29" s="322"/>
      <c r="D29" s="322"/>
      <c r="E29" s="322"/>
      <c r="F29" s="194"/>
    </row>
    <row r="30" spans="1:6">
      <c r="A30" s="322"/>
      <c r="B30" s="322"/>
      <c r="C30" s="322"/>
      <c r="D30" s="322"/>
      <c r="E30" s="322"/>
      <c r="F30" s="194"/>
    </row>
    <row r="31" spans="1:6">
      <c r="A31" s="322"/>
      <c r="B31" s="322"/>
      <c r="C31" s="322"/>
      <c r="D31" s="322"/>
      <c r="E31" s="322"/>
      <c r="F31" s="194"/>
    </row>
    <row r="32" spans="1:6">
      <c r="A32" s="322"/>
      <c r="B32" s="322"/>
      <c r="C32" s="322"/>
      <c r="D32" s="322"/>
      <c r="E32" s="322"/>
      <c r="F32" s="194"/>
    </row>
    <row r="33" spans="1:6">
      <c r="A33" s="322"/>
      <c r="B33" s="322"/>
      <c r="C33" s="322"/>
      <c r="D33" s="322"/>
      <c r="E33" s="322"/>
      <c r="F33" s="194"/>
    </row>
    <row r="34" spans="1:6">
      <c r="A34" s="322"/>
      <c r="B34" s="322"/>
      <c r="C34" s="322"/>
      <c r="D34" s="322"/>
      <c r="E34" s="322"/>
      <c r="F34" s="194"/>
    </row>
    <row r="35" spans="1:6">
      <c r="A35" s="322"/>
      <c r="B35" s="322"/>
      <c r="C35" s="322"/>
      <c r="D35" s="322"/>
      <c r="E35" s="322"/>
      <c r="F35" s="194"/>
    </row>
    <row r="36" spans="1:6">
      <c r="A36" s="322"/>
      <c r="B36" s="322"/>
      <c r="C36" s="322"/>
      <c r="D36" s="322"/>
      <c r="E36" s="322"/>
      <c r="F36" s="194"/>
    </row>
    <row r="37" spans="1:6">
      <c r="A37" s="322"/>
      <c r="B37" s="322"/>
      <c r="C37" s="322"/>
      <c r="D37" s="322"/>
      <c r="E37" s="322"/>
      <c r="F37" s="194"/>
    </row>
    <row r="38" spans="1:6">
      <c r="A38" s="322"/>
      <c r="B38" s="322"/>
      <c r="C38" s="322"/>
      <c r="D38" s="322"/>
      <c r="E38" s="322"/>
      <c r="F38" s="194"/>
    </row>
    <row r="39" spans="1:6">
      <c r="A39" s="322"/>
      <c r="B39" s="322"/>
      <c r="C39" s="322"/>
      <c r="D39" s="322"/>
      <c r="E39" s="322"/>
      <c r="F39" s="194"/>
    </row>
    <row r="40" spans="1:6">
      <c r="A40" s="322"/>
      <c r="B40" s="322"/>
      <c r="C40" s="322"/>
      <c r="D40" s="322"/>
      <c r="E40" s="322"/>
      <c r="F40" s="194"/>
    </row>
  </sheetData>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CED41-800C-4E46-8FD4-452E3E191E50}">
  <sheetPr>
    <tabColor rgb="FFFF9B9B"/>
  </sheetPr>
  <dimension ref="A1:Y105"/>
  <sheetViews>
    <sheetView topLeftCell="A70" workbookViewId="0">
      <selection activeCell="J78" sqref="J78"/>
    </sheetView>
  </sheetViews>
  <sheetFormatPr defaultRowHeight="14.4"/>
  <cols>
    <col min="1" max="1" width="37" customWidth="1"/>
    <col min="2" max="2" width="24.109375" customWidth="1"/>
    <col min="3" max="5" width="29.6640625" customWidth="1"/>
    <col min="6" max="6" width="11.109375" customWidth="1"/>
    <col min="7" max="7" width="14.6640625" customWidth="1"/>
    <col min="9" max="9" width="8.33203125" customWidth="1"/>
    <col min="10" max="10" width="33.33203125" customWidth="1"/>
    <col min="11" max="11" width="24.109375" customWidth="1"/>
    <col min="12" max="15" width="13" customWidth="1"/>
    <col min="17" max="17" width="20.6640625" hidden="1" customWidth="1"/>
    <col min="18" max="18" width="26.6640625" hidden="1" customWidth="1"/>
    <col min="19" max="20" width="18.6640625" hidden="1" customWidth="1"/>
    <col min="21" max="21" width="21.33203125" bestFit="1" customWidth="1"/>
    <col min="22" max="25" width="33.33203125" customWidth="1"/>
  </cols>
  <sheetData>
    <row r="1" spans="1:25" ht="21">
      <c r="A1" s="848" t="s">
        <v>1477</v>
      </c>
      <c r="B1" s="849"/>
      <c r="C1" s="849"/>
      <c r="D1" s="849"/>
      <c r="E1" s="849"/>
      <c r="F1" s="849"/>
      <c r="G1" s="849"/>
      <c r="H1" s="849"/>
      <c r="I1" s="849"/>
      <c r="J1" s="849"/>
      <c r="K1" s="849"/>
      <c r="L1" s="849"/>
      <c r="M1" s="849"/>
      <c r="N1" s="849"/>
      <c r="O1" s="849"/>
      <c r="V1" s="269" t="s">
        <v>1478</v>
      </c>
      <c r="W1" s="269" t="s">
        <v>1479</v>
      </c>
      <c r="X1" s="269" t="s">
        <v>1480</v>
      </c>
      <c r="Y1" s="269" t="s">
        <v>1481</v>
      </c>
    </row>
    <row r="2" spans="1:25">
      <c r="A2" s="850" t="s">
        <v>1482</v>
      </c>
      <c r="B2" s="845"/>
      <c r="C2" s="845"/>
      <c r="D2" s="845"/>
      <c r="E2" s="845"/>
      <c r="F2" s="845"/>
      <c r="G2" s="845"/>
      <c r="H2" s="845"/>
      <c r="I2" s="845"/>
      <c r="J2" s="845"/>
      <c r="K2" s="845"/>
      <c r="L2" s="845"/>
      <c r="M2" s="845"/>
      <c r="N2" s="845"/>
      <c r="O2" s="845"/>
      <c r="V2" cm="1">
        <f t="array" ref="V2">IFERROR(_xlfn._xlws.SORT(_xlfn._xlws.FILTER(RostersMaster[Team]&amp;" #"&amp;RostersMaster[Jersey]&amp;", "&amp;RostersMaster[Full Name],(RostersMaster[Division]="Men")*(RostersMaster[Type]="Player")*(RostersMaster[Position]&lt;&gt;"GK")*(RostersMaster[Full Name]&lt;&gt;"")),1,1),"")</f>
      </c>
      <c r="W2" cm="1">
        <f t="array" ref="W2">IFERROR(_xlfn._xlws.SORT(_xlfn._xlws.FILTER(RostersMaster[Team]&amp;" #"&amp;RostersMaster[Jersey]&amp;", "&amp;RostersMaster[Full Name],(RostersMaster[Division]="Women")*(RostersMaster[Type]="Player")*(RostersMaster[Position]&lt;&gt;"GK")*(RostersMaster[Full Name]&lt;&gt;"")),1,1),"")</f>
      </c>
      <c r="X2" cm="1">
        <f t="array" ref="X2">IFERROR(_xlfn._xlws.SORT(_xlfn._xlws.FILTER(RostersMaster[Team]&amp;" #"&amp;RostersMaster[Jersey]&amp;", "&amp;RostersMaster[Full Name],(RostersMaster[Division]="Men")*(RostersMaster[Type]="Player")*(RostersMaster[Position]="GK")*(RostersMaster[Full Name]&lt;&gt;"")),1,1),"")</f>
      </c>
      <c r="Y2" cm="1">
        <f t="array" ref="Y2">IFERROR(_xlfn._xlws.SORT(_xlfn._xlws.FILTER(RostersMaster[Team]&amp;" #"&amp;RostersMaster[Jersey]&amp;", "&amp;RostersMaster[Full Name],(RostersMaster[Division]="Women")*(RostersMaster[Type]="Player")*(RostersMaster[Position]="GK")*(RostersMaster[Full Name]&lt;&gt;"")),1,1),"")</f>
      </c>
    </row>
    <row r="3" spans="1:25">
      <c r="A3" s="846" t="s">
        <v>1483</v>
      </c>
      <c r="B3" s="846"/>
      <c r="C3" s="846"/>
      <c r="D3" s="846"/>
      <c r="E3" s="846"/>
      <c r="F3" s="846"/>
      <c r="G3" s="846"/>
      <c r="H3" s="846"/>
      <c r="I3" s="846"/>
      <c r="J3" s="846"/>
      <c r="K3" s="846"/>
      <c r="L3" s="846"/>
      <c r="M3" s="846"/>
      <c r="N3" s="846"/>
      <c r="O3" s="846"/>
    </row>
    <row r="4" spans="1:25">
      <c r="A4" s="847" t="s">
        <v>1484</v>
      </c>
      <c r="B4" s="845"/>
      <c r="C4" s="845"/>
      <c r="D4" s="845"/>
      <c r="E4" s="845"/>
      <c r="F4" s="845"/>
      <c r="G4" s="845"/>
      <c r="I4" s="847" t="s">
        <v>1485</v>
      </c>
      <c r="J4" s="845"/>
      <c r="K4" s="845"/>
      <c r="L4" s="845"/>
      <c r="M4" s="845"/>
      <c r="N4" s="845"/>
      <c r="O4" s="845"/>
    </row>
    <row r="5" spans="1:25">
      <c r="A5" s="264" t="s">
        <v>1430</v>
      </c>
      <c r="B5" s="264" t="s">
        <v>1486</v>
      </c>
      <c r="C5" s="264" t="s">
        <v>1487</v>
      </c>
      <c r="D5" s="264" t="s">
        <v>1488</v>
      </c>
      <c r="E5" s="264" t="s">
        <v>1489</v>
      </c>
      <c r="F5" s="264" t="s">
        <v>1490</v>
      </c>
      <c r="G5" s="264" t="s">
        <v>1007</v>
      </c>
      <c r="I5" s="264" t="s">
        <v>1402</v>
      </c>
      <c r="J5" s="264" t="s">
        <v>1403</v>
      </c>
      <c r="K5" s="264" t="s">
        <v>444</v>
      </c>
      <c r="L5" s="264" t="s">
        <v>1491</v>
      </c>
      <c r="M5" s="264" t="s">
        <v>1492</v>
      </c>
      <c r="N5" s="264" t="s">
        <v>1493</v>
      </c>
      <c r="O5" s="264" t="s">
        <v>1494</v>
      </c>
    </row>
    <row r="6" spans="1:25">
      <c r="A6" s="265">
        <f>'Voters Master'!$B$5</f>
      </c>
      <c r="B6" s="265" t="s">
        <v>1495</v>
      </c>
      <c r="C6" s="266" t="s">
        <v>1496</v>
      </c>
      <c r="D6" s="266" t="s">
        <v>1497</v>
      </c>
      <c r="E6" s="266" t="s">
        <v>1498</v>
      </c>
      <c r="F6" s="378">
        <f t="shared" ref="F6:F26" si="0">IF(OR(AND(C6&lt;&gt;"",C6=D6),AND(C6&lt;&gt;"",C6=E6),AND(D6&lt;&gt;"",D6=E6)),"❌ Duplicate",IF(B6="Referee Crew","✅",IF(OR(ISNUMBER(SEARCH(B6,C6)),ISNUMBER(SEARCH(B6,D6)),ISNUMBER(SEARCH(B6,E6))),"❌ Own Team","✅")))</f>
      </c>
      <c r="G6" s="265"/>
      <c r="I6" s="380">
        <v>1</v>
      </c>
      <c r="J6" s="378" cm="1">
        <f t="array" ref="J6:O6">IFERROR(_xlfn.LET(
        _xlpm.votes1,C6:C26,
        _xlpm.votes2,D6:D26,
        _xlpm.votes3,E6:E26,
        _xlpm.allVotes,_xlfn._xlws.FILTER(_xlfn.VSTACK(_xlpm.votes1,_xlpm.votes2,_xlpm.votes3),_xlfn.VSTACK(_xlpm.votes1,_xlpm.votes2,_xlpm.votes3)&lt;&gt;""),
        _xlpm.uniquePlayers,_xlfn.UNIQUE(_xlpm.allVotes),
        _xlpm.count1,_xlfn.MAP(_xlpm.uniquePlayers,_xlfn.LAMBDA(_xlpm.p,COUNTIF(_xlpm.votes1,_xlpm.p))),
        _xlpm.count2,_xlfn.MAP(_xlpm.uniquePlayers,_xlfn.LAMBDA(_xlpm.p,COUNTIF(_xlpm.votes2,_xlpm.p))),
        _xlpm.count3,_xlfn.MAP(_xlpm.uniquePlayers,_xlfn.LAMBDA(_xlpm.p,COUNTIF(_xlpm.votes3,_xlpm.p))),
        _xlpm.totalPts,_xlpm.count1*3+_xlpm.count2*2+_xlpm.count3*1,
        _xlpm.teamNames,_xlfn.MAP(_xlpm.uniquePlayers,_xlfn.LAMBDA(_xlpm.p,TRIM(LEFT(_xlpm.p,FIND(" #",_xlpm.p)-1)))),
        _xlpm.playerNames,_xlfn.MAP(_xlpm.uniquePlayers,_xlfn.LAMBDA(_xlpm.p,TRIM(MID(_xlpm.p,FIND(", ",_xlpm.p)+2,100)))),
        _xlpm.results,_xlfn.HSTACK(_xlpm.playerNames,_xlpm.teamNames,_xlpm.count1,_xlpm.count2,_xlpm.count3,_xlpm.totalPts),
        _xlpm.sorted,_xlfn._xlws.SORT(_xlpm.results,{6,3},{-1,-1}),
        INDEX(_xlpm.sorted,_xlfn.SEQUENCE(MIN(15,ROWS(_xlpm.sorted))),_xlfn.SEQUENCE(1,6))
    ),"")</f>
      </c>
      <c r="K6" s="265"/>
      <c r="L6" s="380"/>
      <c r="M6" s="380"/>
      <c r="N6" s="380"/>
      <c r="O6" s="380"/>
    </row>
    <row r="7" spans="1:25">
      <c r="A7" s="267">
        <f>'Voters Master'!$B$6</f>
      </c>
      <c r="B7" s="267" t="s">
        <v>1495</v>
      </c>
      <c r="C7" s="266" t="s">
        <v>1497</v>
      </c>
      <c r="D7" s="266" t="s">
        <v>1496</v>
      </c>
      <c r="E7" s="266" t="s">
        <v>1499</v>
      </c>
      <c r="F7" s="378">
        <f t="shared" si="0"/>
      </c>
      <c r="G7" s="265"/>
      <c r="I7" s="380">
        <v>2</v>
      </c>
      <c r="J7" s="265"/>
      <c r="K7" s="265"/>
      <c r="L7" s="380"/>
      <c r="M7" s="380"/>
      <c r="N7" s="380"/>
      <c r="O7" s="380"/>
    </row>
    <row r="8" spans="1:25">
      <c r="A8" s="265">
        <f>'Voters Master'!$B$7</f>
      </c>
      <c r="B8" s="265" t="s">
        <v>1495</v>
      </c>
      <c r="C8" s="266" t="s">
        <v>1496</v>
      </c>
      <c r="D8" s="266" t="s">
        <v>1497</v>
      </c>
      <c r="E8" s="266" t="s">
        <v>1498</v>
      </c>
      <c r="F8" s="378">
        <f t="shared" si="0"/>
      </c>
      <c r="G8" s="265"/>
      <c r="I8" s="380">
        <v>3</v>
      </c>
      <c r="J8" s="265"/>
      <c r="K8" s="265"/>
      <c r="L8" s="380"/>
      <c r="M8" s="380"/>
      <c r="N8" s="380"/>
      <c r="O8" s="380"/>
    </row>
    <row r="9" spans="1:25">
      <c r="A9" s="267">
        <f>'Voters Master'!$B$8</f>
      </c>
      <c r="B9" s="267" t="s">
        <v>1495</v>
      </c>
      <c r="C9" s="266"/>
      <c r="D9" s="266"/>
      <c r="E9" s="266"/>
      <c r="F9" s="378">
        <f t="shared" si="0"/>
      </c>
      <c r="G9" s="265"/>
      <c r="I9" s="380">
        <v>4</v>
      </c>
      <c r="J9" s="265"/>
      <c r="K9" s="265"/>
      <c r="L9" s="380"/>
      <c r="M9" s="380"/>
      <c r="N9" s="380"/>
      <c r="O9" s="380"/>
    </row>
    <row r="10" spans="1:25">
      <c r="A10" s="265">
        <f>'Voters Master'!$B$9</f>
      </c>
      <c r="B10" s="265" t="s">
        <v>1495</v>
      </c>
      <c r="C10" s="266"/>
      <c r="D10" s="266"/>
      <c r="E10" s="266"/>
      <c r="F10" s="378">
        <f t="shared" si="0"/>
      </c>
      <c r="G10" s="265"/>
      <c r="I10" s="380">
        <v>5</v>
      </c>
      <c r="J10" s="265"/>
      <c r="K10" s="265"/>
      <c r="L10" s="265"/>
      <c r="M10" s="265"/>
      <c r="N10" s="265"/>
      <c r="O10" s="265"/>
    </row>
    <row r="11" spans="1:25">
      <c r="A11" s="267">
        <f>'Voters Master'!$B$10</f>
      </c>
      <c r="B11" s="267" t="s">
        <v>1495</v>
      </c>
      <c r="C11" s="266"/>
      <c r="D11" s="266"/>
      <c r="E11" s="266"/>
      <c r="F11" s="378">
        <f t="shared" si="0"/>
      </c>
      <c r="G11" s="265"/>
      <c r="I11" s="380">
        <v>6</v>
      </c>
      <c r="J11" s="265"/>
      <c r="K11" s="265"/>
      <c r="L11" s="265"/>
      <c r="M11" s="265"/>
      <c r="N11" s="265"/>
      <c r="O11" s="265"/>
    </row>
    <row r="12" spans="1:25">
      <c r="A12" s="265">
        <f>'Voters Master'!$B$11</f>
      </c>
      <c r="B12" s="265" t="s">
        <v>1495</v>
      </c>
      <c r="C12" s="266"/>
      <c r="D12" s="266"/>
      <c r="E12" s="266"/>
      <c r="F12" s="378">
        <f t="shared" si="0"/>
      </c>
      <c r="G12" s="265"/>
      <c r="I12" s="380">
        <v>7</v>
      </c>
      <c r="J12" s="265"/>
      <c r="K12" s="265"/>
      <c r="L12" s="265"/>
      <c r="M12" s="265"/>
      <c r="N12" s="265"/>
      <c r="O12" s="265"/>
    </row>
    <row r="13" spans="1:25">
      <c r="A13" s="267">
        <f>'Voters Master'!$B$12</f>
      </c>
      <c r="B13" s="267" t="s">
        <v>1495</v>
      </c>
      <c r="C13" s="266"/>
      <c r="D13" s="266"/>
      <c r="E13" s="266"/>
      <c r="F13" s="378">
        <f t="shared" si="0"/>
      </c>
      <c r="G13" s="265"/>
      <c r="I13" s="380">
        <v>8</v>
      </c>
      <c r="J13" s="265"/>
      <c r="K13" s="265"/>
      <c r="L13" s="265"/>
      <c r="M13" s="265"/>
      <c r="N13" s="265"/>
      <c r="O13" s="265"/>
    </row>
    <row r="14" spans="1:25">
      <c r="A14" s="265">
        <f>IF('Voters Master'!$B$14="","(Official A, "&amp;'Voters Master'!$D$14&amp;")",'Voters Master'!$B$14)</f>
      </c>
      <c r="B14" s="265">
        <f>'Voters Master'!$D$14</f>
      </c>
      <c r="C14" s="266" t="s">
        <v>1497</v>
      </c>
      <c r="D14" s="266" t="s">
        <v>1496</v>
      </c>
      <c r="E14" s="266" t="s">
        <v>1499</v>
      </c>
      <c r="F14" s="378">
        <f t="shared" si="0"/>
      </c>
      <c r="G14" s="265"/>
      <c r="I14" s="380">
        <v>9</v>
      </c>
      <c r="J14" s="265"/>
      <c r="K14" s="265"/>
      <c r="L14" s="265"/>
      <c r="M14" s="265"/>
      <c r="N14" s="265"/>
      <c r="O14" s="265"/>
    </row>
    <row r="15" spans="1:25">
      <c r="A15" s="267">
        <f>IF('Voters Master'!$B$15="","(Official A, "&amp;'Voters Master'!$D$15&amp;")",'Voters Master'!$B$15)</f>
      </c>
      <c r="B15" s="267">
        <f>'Voters Master'!$D$15</f>
      </c>
      <c r="C15" s="266"/>
      <c r="D15" s="266"/>
      <c r="E15" s="266"/>
      <c r="F15" s="378">
        <f t="shared" si="0"/>
      </c>
      <c r="G15" s="265"/>
      <c r="I15" s="380">
        <v>10</v>
      </c>
      <c r="J15" s="265"/>
      <c r="K15" s="265"/>
      <c r="L15" s="265"/>
      <c r="M15" s="265"/>
      <c r="N15" s="265"/>
      <c r="O15" s="265"/>
    </row>
    <row r="16" spans="1:25">
      <c r="A16" s="265">
        <f>IF('Voters Master'!$B$16="","(Official A, "&amp;'Voters Master'!$D$16&amp;")",'Voters Master'!$B$16)</f>
      </c>
      <c r="B16" s="265">
        <f>'Voters Master'!$D$16</f>
      </c>
      <c r="C16" s="266" t="s">
        <v>1496</v>
      </c>
      <c r="D16" s="266" t="s">
        <v>1497</v>
      </c>
      <c r="E16" s="266" t="s">
        <v>1499</v>
      </c>
      <c r="F16" s="378">
        <f t="shared" si="0"/>
      </c>
      <c r="G16" s="265"/>
      <c r="I16" s="380">
        <v>11</v>
      </c>
      <c r="J16" s="265"/>
      <c r="K16" s="265"/>
      <c r="L16" s="265"/>
      <c r="M16" s="265"/>
      <c r="N16" s="265"/>
      <c r="O16" s="265"/>
    </row>
    <row r="17" spans="1:15">
      <c r="A17" s="267">
        <f>IF('Voters Master'!$B$17="","(Official A, "&amp;'Voters Master'!$D$17&amp;")",'Voters Master'!$B$17)</f>
      </c>
      <c r="B17" s="267">
        <f>'Voters Master'!$D$17</f>
      </c>
      <c r="C17" s="266"/>
      <c r="D17" s="266"/>
      <c r="E17" s="266"/>
      <c r="F17" s="378">
        <f t="shared" si="0"/>
      </c>
      <c r="G17" s="265"/>
      <c r="I17" s="380">
        <v>12</v>
      </c>
      <c r="J17" s="265"/>
      <c r="K17" s="265"/>
      <c r="L17" s="265"/>
      <c r="M17" s="265"/>
      <c r="N17" s="265"/>
      <c r="O17" s="265"/>
    </row>
    <row r="18" spans="1:15">
      <c r="A18" s="265">
        <f>IF('Voters Master'!$B$18="","(Official A, "&amp;'Voters Master'!$D$18&amp;")",'Voters Master'!$B$18)</f>
      </c>
      <c r="B18" s="265">
        <f>'Voters Master'!$D$18</f>
      </c>
      <c r="C18" s="266"/>
      <c r="D18" s="266"/>
      <c r="E18" s="266"/>
      <c r="F18" s="378">
        <f t="shared" si="0"/>
      </c>
      <c r="G18" s="265"/>
      <c r="I18" s="380">
        <v>13</v>
      </c>
      <c r="J18" s="265"/>
      <c r="K18" s="265"/>
      <c r="L18" s="265"/>
      <c r="M18" s="265"/>
      <c r="N18" s="265"/>
      <c r="O18" s="265"/>
    </row>
    <row r="19" spans="1:15">
      <c r="A19" s="267">
        <f>IF('Voters Master'!$B$19="","(Official A, "&amp;'Voters Master'!$D$19&amp;")",'Voters Master'!$B$19)</f>
      </c>
      <c r="B19" s="267">
        <f>'Voters Master'!$D$19</f>
      </c>
      <c r="C19" s="266"/>
      <c r="D19" s="266"/>
      <c r="E19" s="266"/>
      <c r="F19" s="378">
        <f t="shared" si="0"/>
      </c>
      <c r="G19" s="265"/>
      <c r="I19" s="380">
        <v>14</v>
      </c>
      <c r="J19" s="265"/>
      <c r="K19" s="265"/>
      <c r="L19" s="265"/>
      <c r="M19" s="265"/>
      <c r="N19" s="265"/>
      <c r="O19" s="265"/>
    </row>
    <row r="20" spans="1:15">
      <c r="A20" s="265">
        <f>IF('Voters Master'!$B$20="","(Official A, "&amp;'Voters Master'!$D$20&amp;")",'Voters Master'!$B$20)</f>
      </c>
      <c r="B20" s="265">
        <f>'Voters Master'!$D$20</f>
      </c>
      <c r="C20" s="266"/>
      <c r="D20" s="266"/>
      <c r="E20" s="266"/>
      <c r="F20" s="378">
        <f t="shared" si="0"/>
      </c>
      <c r="G20" s="265"/>
      <c r="I20" s="380">
        <v>15</v>
      </c>
      <c r="J20" s="265"/>
      <c r="K20" s="265"/>
      <c r="L20" s="265"/>
      <c r="M20" s="265"/>
      <c r="N20" s="265"/>
      <c r="O20" s="265"/>
    </row>
    <row r="21" spans="1:15">
      <c r="A21" s="267">
        <f>IF('Voters Master'!$B$21="","(Official A, "&amp;'Voters Master'!$D$21&amp;")",'Voters Master'!$B$21)</f>
      </c>
      <c r="B21" s="267">
        <f>'Voters Master'!$D$21</f>
      </c>
      <c r="C21" s="266"/>
      <c r="D21" s="266"/>
      <c r="E21" s="266"/>
      <c r="F21" s="378">
        <f t="shared" si="0"/>
      </c>
      <c r="G21" s="265"/>
    </row>
    <row r="22" spans="1:15">
      <c r="A22" s="265">
        <f>IF('Voters Master'!$B$22="","(Official A, "&amp;'Voters Master'!$D$22&amp;")",'Voters Master'!$B$22)</f>
      </c>
      <c r="B22" s="265">
        <f>'Voters Master'!$D$22</f>
      </c>
      <c r="C22" s="266"/>
      <c r="D22" s="266"/>
      <c r="E22" s="266"/>
      <c r="F22" s="378">
        <f t="shared" si="0"/>
      </c>
      <c r="G22" s="265"/>
    </row>
    <row r="23" spans="1:15">
      <c r="A23" s="267">
        <f>IF('Voters Master'!$B$23="","(Official A, "&amp;'Voters Master'!$D$23&amp;")",'Voters Master'!$B$23)</f>
      </c>
      <c r="B23" s="267">
        <f>'Voters Master'!$D$23</f>
      </c>
      <c r="C23" s="266"/>
      <c r="D23" s="266"/>
      <c r="E23" s="266"/>
      <c r="F23" s="378">
        <f t="shared" si="0"/>
      </c>
      <c r="G23" s="265"/>
    </row>
    <row r="24" spans="1:15">
      <c r="A24" s="265">
        <f>IF('Voters Master'!$B$24="","(Official A, "&amp;'Voters Master'!$D$24&amp;")",'Voters Master'!$B$24)</f>
      </c>
      <c r="B24" s="265">
        <f>'Voters Master'!$D$24</f>
      </c>
      <c r="C24" s="266"/>
      <c r="D24" s="266"/>
      <c r="E24" s="266"/>
      <c r="F24" s="378">
        <f t="shared" si="0"/>
      </c>
      <c r="G24" s="265"/>
    </row>
    <row r="25" spans="1:15">
      <c r="A25" s="267">
        <f>IF('Voters Master'!$B$25="","(Official A, "&amp;'Voters Master'!$D$25&amp;")",'Voters Master'!$B$25)</f>
      </c>
      <c r="B25" s="267">
        <f>'Voters Master'!$D$25</f>
      </c>
      <c r="C25" s="266"/>
      <c r="D25" s="266"/>
      <c r="E25" s="266"/>
      <c r="F25" s="378">
        <f t="shared" si="0"/>
      </c>
      <c r="G25" s="265"/>
    </row>
    <row r="26" spans="1:15">
      <c r="A26" s="265">
        <f>IF('Voters Master'!$B$26="","(Official A, "&amp;'Voters Master'!$D$26&amp;")",'Voters Master'!$B$26)</f>
      </c>
      <c r="B26" s="265">
        <f>'Voters Master'!$D$26</f>
      </c>
      <c r="C26" s="266"/>
      <c r="D26" s="266"/>
      <c r="E26" s="266"/>
      <c r="F26" s="378">
        <f t="shared" si="0"/>
      </c>
      <c r="G26" s="265"/>
    </row>
    <row r="28" spans="1:15">
      <c r="A28" s="847" t="s">
        <v>1500</v>
      </c>
      <c r="B28" s="845"/>
      <c r="C28" s="845"/>
      <c r="D28" s="845"/>
      <c r="E28" s="845"/>
      <c r="F28" s="845"/>
      <c r="G28" s="845"/>
      <c r="I28" s="847" t="s">
        <v>1501</v>
      </c>
      <c r="J28" s="845"/>
      <c r="K28" s="845"/>
      <c r="L28" s="845"/>
      <c r="M28" s="845"/>
      <c r="N28" s="845"/>
      <c r="O28" s="845"/>
    </row>
    <row r="29" spans="1:15">
      <c r="A29" s="264" t="s">
        <v>1430</v>
      </c>
      <c r="B29" s="264" t="s">
        <v>1486</v>
      </c>
      <c r="C29" s="264" t="s">
        <v>1487</v>
      </c>
      <c r="D29" s="264" t="s">
        <v>1488</v>
      </c>
      <c r="E29" s="264" t="s">
        <v>1489</v>
      </c>
      <c r="F29" s="264" t="s">
        <v>1490</v>
      </c>
      <c r="G29" s="264" t="s">
        <v>1007</v>
      </c>
      <c r="I29" s="264" t="s">
        <v>1402</v>
      </c>
      <c r="J29" s="264" t="s">
        <v>1403</v>
      </c>
      <c r="K29" s="264" t="s">
        <v>444</v>
      </c>
      <c r="L29" s="264" t="s">
        <v>1491</v>
      </c>
      <c r="M29" s="264" t="s">
        <v>1492</v>
      </c>
      <c r="N29" s="264" t="s">
        <v>1493</v>
      </c>
      <c r="O29" s="264" t="s">
        <v>1494</v>
      </c>
    </row>
    <row r="30" spans="1:15">
      <c r="A30" s="265">
        <f>'Voters Master'!$B$5</f>
      </c>
      <c r="B30" s="265" t="s">
        <v>1495</v>
      </c>
      <c r="C30" s="266" t="s">
        <v>1502</v>
      </c>
      <c r="D30" s="266" t="s">
        <v>1503</v>
      </c>
      <c r="E30" s="266" t="s">
        <v>1504</v>
      </c>
      <c r="F30" s="378">
        <f t="shared" ref="F30:F50" si="1">IF(OR(AND(C30&lt;&gt;"",C30=D30),AND(C30&lt;&gt;"",C30=E30),AND(D30&lt;&gt;"",D30=E30)),"❌ Duplicate",IF(B30="Referee Crew","✅",IF(OR(ISNUMBER(SEARCH(B30,C30)),ISNUMBER(SEARCH(B30,D30)),ISNUMBER(SEARCH(B30,E30))),"❌ Own Team","✅")))</f>
      </c>
      <c r="G30" s="265"/>
      <c r="I30" s="380">
        <v>1</v>
      </c>
      <c r="J30" s="265" cm="1">
        <f t="array" ref="J30:O30">IFERROR(_xlfn.LET(
        _xlpm.votes1,C30:C50,
        _xlpm.votes2,D30:D50,
        _xlpm.votes3,E30:E50,
        _xlpm.allVotes,_xlfn._xlws.FILTER(_xlfn.VSTACK(_xlpm.votes1,_xlpm.votes2,_xlpm.votes3),_xlfn.VSTACK(_xlpm.votes1,_xlpm.votes2,_xlpm.votes3)&lt;&gt;""),
        _xlpm.uniquePlayers,_xlfn.UNIQUE(_xlpm.allVotes),
        _xlpm.count1,_xlfn.MAP(_xlpm.uniquePlayers,_xlfn.LAMBDA(_xlpm.p,COUNTIF(_xlpm.votes1,_xlpm.p))),
        _xlpm.count2,_xlfn.MAP(_xlpm.uniquePlayers,_xlfn.LAMBDA(_xlpm.p,COUNTIF(_xlpm.votes2,_xlpm.p))),
        _xlpm.count3,_xlfn.MAP(_xlpm.uniquePlayers,_xlfn.LAMBDA(_xlpm.p,COUNTIF(_xlpm.votes3,_xlpm.p))),
        _xlpm.totalPts,_xlpm.count1*3+_xlpm.count2*2+_xlpm.count3*1,
        _xlpm.teamNames,_xlfn.MAP(_xlpm.uniquePlayers,_xlfn.LAMBDA(_xlpm.p,TRIM(LEFT(_xlpm.p,FIND(" #",_xlpm.p)-1)))),
        _xlpm.playerNames,_xlfn.MAP(_xlpm.uniquePlayers,_xlfn.LAMBDA(_xlpm.p,TRIM(MID(_xlpm.p,FIND(", ",_xlpm.p)+2,100)))),
        _xlpm.results,_xlfn.HSTACK(_xlpm.playerNames,_xlpm.teamNames,_xlpm.count1,_xlpm.count2,_xlpm.count3,_xlpm.totalPts),
        _xlpm.sorted,_xlfn._xlws.SORT(_xlpm.results,{6,3},{-1,-1}),
        INDEX(_xlpm.sorted,_xlfn.SEQUENCE(MIN(15,ROWS(_xlpm.sorted))),_xlfn.SEQUENCE(1,6))
    ),"")</f>
      </c>
      <c r="K30" s="265"/>
      <c r="L30" s="265"/>
      <c r="M30" s="265"/>
      <c r="N30" s="265"/>
      <c r="O30" s="265"/>
    </row>
    <row r="31" spans="1:15">
      <c r="A31" s="267">
        <f>'Voters Master'!$B$6</f>
      </c>
      <c r="B31" s="267" t="s">
        <v>1495</v>
      </c>
      <c r="C31" s="266" t="s">
        <v>1503</v>
      </c>
      <c r="D31" s="266" t="s">
        <v>1502</v>
      </c>
      <c r="E31" s="266" t="s">
        <v>1505</v>
      </c>
      <c r="F31" s="378">
        <f t="shared" si="1"/>
      </c>
      <c r="G31" s="265"/>
      <c r="I31" s="380">
        <v>2</v>
      </c>
      <c r="J31" s="265"/>
      <c r="K31" s="265"/>
      <c r="L31" s="265"/>
      <c r="M31" s="265"/>
      <c r="N31" s="265"/>
      <c r="O31" s="265"/>
    </row>
    <row r="32" spans="1:15">
      <c r="A32" s="265">
        <f>'Voters Master'!$B$7</f>
      </c>
      <c r="B32" s="265" t="s">
        <v>1495</v>
      </c>
      <c r="C32" s="266" t="s">
        <v>1502</v>
      </c>
      <c r="D32" s="266" t="s">
        <v>1503</v>
      </c>
      <c r="E32" s="266" t="s">
        <v>1504</v>
      </c>
      <c r="F32" s="378">
        <f t="shared" si="1"/>
      </c>
      <c r="G32" s="265"/>
      <c r="I32" s="380">
        <v>3</v>
      </c>
      <c r="J32" s="265"/>
      <c r="K32" s="265"/>
      <c r="L32" s="265"/>
      <c r="M32" s="265"/>
      <c r="N32" s="265"/>
      <c r="O32" s="265"/>
    </row>
    <row r="33" spans="1:15">
      <c r="A33" s="267">
        <f>'Voters Master'!$B$8</f>
      </c>
      <c r="B33" s="267" t="s">
        <v>1495</v>
      </c>
      <c r="C33" s="266"/>
      <c r="D33" s="266"/>
      <c r="E33" s="266"/>
      <c r="F33" s="378">
        <f t="shared" si="1"/>
      </c>
      <c r="G33" s="265"/>
      <c r="I33" s="380">
        <v>4</v>
      </c>
      <c r="J33" s="265"/>
      <c r="K33" s="265"/>
      <c r="L33" s="265"/>
      <c r="M33" s="265"/>
      <c r="N33" s="265"/>
      <c r="O33" s="265"/>
    </row>
    <row r="34" spans="1:15">
      <c r="A34" s="265">
        <f>'Voters Master'!$B$9</f>
      </c>
      <c r="B34" s="265" t="s">
        <v>1495</v>
      </c>
      <c r="C34" s="266"/>
      <c r="D34" s="266"/>
      <c r="E34" s="266"/>
      <c r="F34" s="378">
        <f t="shared" si="1"/>
      </c>
      <c r="G34" s="265"/>
      <c r="I34" s="380">
        <v>5</v>
      </c>
      <c r="J34" s="265"/>
      <c r="K34" s="265"/>
      <c r="L34" s="265"/>
      <c r="M34" s="265"/>
      <c r="N34" s="265"/>
      <c r="O34" s="265"/>
    </row>
    <row r="35" spans="1:15">
      <c r="A35" s="267">
        <f>'Voters Master'!$B$10</f>
      </c>
      <c r="B35" s="267" t="s">
        <v>1495</v>
      </c>
      <c r="C35" s="266"/>
      <c r="D35" s="266"/>
      <c r="E35" s="266"/>
      <c r="F35" s="378">
        <f t="shared" si="1"/>
      </c>
      <c r="G35" s="265"/>
      <c r="I35" s="380">
        <v>6</v>
      </c>
      <c r="J35" s="265"/>
      <c r="K35" s="265"/>
      <c r="L35" s="265"/>
      <c r="M35" s="265"/>
      <c r="N35" s="265"/>
      <c r="O35" s="265"/>
    </row>
    <row r="36" spans="1:15">
      <c r="A36" s="265">
        <f>'Voters Master'!$B$11</f>
      </c>
      <c r="B36" s="265" t="s">
        <v>1495</v>
      </c>
      <c r="C36" s="266"/>
      <c r="D36" s="266"/>
      <c r="E36" s="266"/>
      <c r="F36" s="378">
        <f t="shared" si="1"/>
      </c>
      <c r="G36" s="265"/>
      <c r="I36" s="380">
        <v>7</v>
      </c>
      <c r="J36" s="265"/>
      <c r="K36" s="265"/>
      <c r="L36" s="265"/>
      <c r="M36" s="265"/>
      <c r="N36" s="265"/>
      <c r="O36" s="265"/>
    </row>
    <row r="37" spans="1:15">
      <c r="A37" s="267">
        <f>'Voters Master'!$B$12</f>
      </c>
      <c r="B37" s="267" t="s">
        <v>1495</v>
      </c>
      <c r="C37" s="266"/>
      <c r="D37" s="266"/>
      <c r="E37" s="266"/>
      <c r="F37" s="378">
        <f t="shared" si="1"/>
      </c>
      <c r="G37" s="265"/>
      <c r="I37" s="380">
        <v>8</v>
      </c>
      <c r="J37" s="265"/>
      <c r="K37" s="265"/>
      <c r="L37" s="265"/>
      <c r="M37" s="265"/>
      <c r="N37" s="265"/>
      <c r="O37" s="265"/>
    </row>
    <row r="38" spans="1:15">
      <c r="A38" s="265">
        <f>IF('Voters Master'!$B$14="","(Official A, "&amp;'Voters Master'!$D$14&amp;")",'Voters Master'!$B$14)</f>
      </c>
      <c r="B38" s="265">
        <f>'Voters Master'!$D$14</f>
      </c>
      <c r="C38" s="266"/>
      <c r="D38" s="266"/>
      <c r="E38" s="266"/>
      <c r="F38" s="378">
        <f t="shared" si="1"/>
      </c>
      <c r="G38" s="265"/>
      <c r="I38" s="380">
        <v>9</v>
      </c>
      <c r="J38" s="265"/>
      <c r="K38" s="265"/>
      <c r="L38" s="265"/>
      <c r="M38" s="265"/>
      <c r="N38" s="265"/>
      <c r="O38" s="265"/>
    </row>
    <row r="39" spans="1:15">
      <c r="A39" s="267">
        <f>IF('Voters Master'!$B$15="","(Official A, "&amp;'Voters Master'!$D$15&amp;")",'Voters Master'!$B$15)</f>
      </c>
      <c r="B39" s="267">
        <f>'Voters Master'!$D$15</f>
      </c>
      <c r="C39" s="266"/>
      <c r="D39" s="266"/>
      <c r="E39" s="266"/>
      <c r="F39" s="378">
        <f t="shared" si="1"/>
      </c>
      <c r="G39" s="265"/>
      <c r="I39" s="380">
        <v>10</v>
      </c>
      <c r="J39" s="265"/>
      <c r="K39" s="265"/>
      <c r="L39" s="265"/>
      <c r="M39" s="265"/>
      <c r="N39" s="265"/>
      <c r="O39" s="265"/>
    </row>
    <row r="40" spans="1:15">
      <c r="A40" s="265">
        <f>IF('Voters Master'!$B$16="","(Official A, "&amp;'Voters Master'!$D$16&amp;")",'Voters Master'!$B$16)</f>
      </c>
      <c r="B40" s="265">
        <f>'Voters Master'!$D$16</f>
      </c>
      <c r="C40" s="266" t="s">
        <v>1503</v>
      </c>
      <c r="D40" s="266" t="s">
        <v>1502</v>
      </c>
      <c r="E40" s="266" t="s">
        <v>1505</v>
      </c>
      <c r="F40" s="378">
        <f t="shared" si="1"/>
      </c>
      <c r="G40" s="265"/>
      <c r="I40" s="380">
        <v>11</v>
      </c>
      <c r="J40" s="265"/>
      <c r="K40" s="265"/>
      <c r="L40" s="265"/>
      <c r="M40" s="265"/>
      <c r="N40" s="265"/>
      <c r="O40" s="265"/>
    </row>
    <row r="41" spans="1:15">
      <c r="A41" s="267">
        <f>IF('Voters Master'!$B$17="","(Official A, "&amp;'Voters Master'!$D$17&amp;")",'Voters Master'!$B$17)</f>
      </c>
      <c r="B41" s="267">
        <f>'Voters Master'!$D$17</f>
      </c>
      <c r="C41" s="266" t="s">
        <v>1502</v>
      </c>
      <c r="D41" s="266" t="s">
        <v>1503</v>
      </c>
      <c r="E41" s="266" t="s">
        <v>1504</v>
      </c>
      <c r="F41" s="378">
        <f t="shared" si="1"/>
      </c>
      <c r="G41" s="265"/>
      <c r="I41" s="380">
        <v>12</v>
      </c>
      <c r="J41" s="265"/>
      <c r="K41" s="265"/>
      <c r="L41" s="265"/>
      <c r="M41" s="265"/>
      <c r="N41" s="265"/>
      <c r="O41" s="265"/>
    </row>
    <row r="42" spans="1:15">
      <c r="A42" s="265">
        <f>IF('Voters Master'!$B$18="","(Official A, "&amp;'Voters Master'!$D$18&amp;")",'Voters Master'!$B$18)</f>
      </c>
      <c r="B42" s="265">
        <f>'Voters Master'!$D$18</f>
      </c>
      <c r="C42" s="266"/>
      <c r="D42" s="266"/>
      <c r="E42" s="266"/>
      <c r="F42" s="378">
        <f t="shared" si="1"/>
      </c>
      <c r="G42" s="265"/>
      <c r="I42" s="380">
        <v>13</v>
      </c>
      <c r="J42" s="265"/>
      <c r="K42" s="265"/>
      <c r="L42" s="265"/>
      <c r="M42" s="265"/>
      <c r="N42" s="265"/>
      <c r="O42" s="265"/>
    </row>
    <row r="43" spans="1:15">
      <c r="A43" s="267">
        <f>IF('Voters Master'!$B$19="","(Official A, "&amp;'Voters Master'!$D$19&amp;")",'Voters Master'!$B$19)</f>
      </c>
      <c r="B43" s="267">
        <f>'Voters Master'!$D$19</f>
      </c>
      <c r="C43" s="266"/>
      <c r="D43" s="266"/>
      <c r="E43" s="266"/>
      <c r="F43" s="378">
        <f t="shared" si="1"/>
      </c>
      <c r="G43" s="265"/>
      <c r="I43" s="380">
        <v>14</v>
      </c>
      <c r="J43" s="265"/>
      <c r="K43" s="265"/>
      <c r="L43" s="265"/>
      <c r="M43" s="265"/>
      <c r="N43" s="265"/>
      <c r="O43" s="265"/>
    </row>
    <row r="44" spans="1:15">
      <c r="A44" s="265">
        <f>IF('Voters Master'!$B$20="","(Official A, "&amp;'Voters Master'!$D$20&amp;")",'Voters Master'!$B$20)</f>
      </c>
      <c r="B44" s="265">
        <f>'Voters Master'!$D$20</f>
      </c>
      <c r="C44" s="266"/>
      <c r="D44" s="266"/>
      <c r="E44" s="266"/>
      <c r="F44" s="378">
        <f t="shared" si="1"/>
      </c>
      <c r="G44" s="265"/>
      <c r="I44" s="380">
        <v>15</v>
      </c>
      <c r="J44" s="265"/>
      <c r="K44" s="265"/>
      <c r="L44" s="265"/>
      <c r="M44" s="265"/>
      <c r="N44" s="265"/>
      <c r="O44" s="265"/>
    </row>
    <row r="45" spans="1:15">
      <c r="A45" s="267">
        <f>IF('Voters Master'!$B$21="","(Official A, "&amp;'Voters Master'!$D$21&amp;")",'Voters Master'!$B$21)</f>
      </c>
      <c r="B45" s="267">
        <f>'Voters Master'!$D$21</f>
      </c>
      <c r="C45" s="266"/>
      <c r="D45" s="266"/>
      <c r="E45" s="266"/>
      <c r="F45" s="378">
        <f t="shared" si="1"/>
      </c>
      <c r="G45" s="265"/>
    </row>
    <row r="46" spans="1:15">
      <c r="A46" s="265">
        <f>IF('Voters Master'!$B$22="","(Official A, "&amp;'Voters Master'!$D$22&amp;")",'Voters Master'!$B$22)</f>
      </c>
      <c r="B46" s="265">
        <f>'Voters Master'!$D$22</f>
      </c>
      <c r="C46" s="266"/>
      <c r="D46" s="266"/>
      <c r="E46" s="266"/>
      <c r="F46" s="378">
        <f t="shared" si="1"/>
      </c>
      <c r="G46" s="265"/>
    </row>
    <row r="47" spans="1:15">
      <c r="A47" s="267">
        <f>IF('Voters Master'!$B$23="","(Official A, "&amp;'Voters Master'!$D$23&amp;")",'Voters Master'!$B$23)</f>
      </c>
      <c r="B47" s="267">
        <f>'Voters Master'!$D$23</f>
      </c>
      <c r="C47" s="266"/>
      <c r="D47" s="266"/>
      <c r="E47" s="266"/>
      <c r="F47" s="378">
        <f t="shared" si="1"/>
      </c>
      <c r="G47" s="265"/>
    </row>
    <row r="48" spans="1:15">
      <c r="A48" s="265">
        <f>IF('Voters Master'!$B$24="","(Official A, "&amp;'Voters Master'!$D$24&amp;")",'Voters Master'!$B$24)</f>
      </c>
      <c r="B48" s="265">
        <f>'Voters Master'!$D$24</f>
      </c>
      <c r="C48" s="266"/>
      <c r="D48" s="266"/>
      <c r="E48" s="266"/>
      <c r="F48" s="378">
        <f t="shared" si="1"/>
      </c>
      <c r="G48" s="265"/>
    </row>
    <row r="49" spans="1:15">
      <c r="A49" s="267">
        <f>IF('Voters Master'!$B$25="","(Official A, "&amp;'Voters Master'!$D$25&amp;")",'Voters Master'!$B$25)</f>
      </c>
      <c r="B49" s="267">
        <f>'Voters Master'!$D$25</f>
      </c>
      <c r="C49" s="266"/>
      <c r="D49" s="266"/>
      <c r="E49" s="266"/>
      <c r="F49" s="378">
        <f t="shared" si="1"/>
      </c>
      <c r="G49" s="265"/>
    </row>
    <row r="50" spans="1:15">
      <c r="A50" s="265">
        <f>IF('Voters Master'!$B$26="","(Official A, "&amp;'Voters Master'!$D$26&amp;")",'Voters Master'!$B$26)</f>
      </c>
      <c r="B50" s="265">
        <f>'Voters Master'!$D$26</f>
      </c>
      <c r="C50" s="266"/>
      <c r="D50" s="266"/>
      <c r="E50" s="266"/>
      <c r="F50" s="378">
        <f t="shared" si="1"/>
      </c>
      <c r="G50" s="265"/>
    </row>
    <row r="52" spans="1:15">
      <c r="A52" s="847" t="s">
        <v>1506</v>
      </c>
      <c r="B52" s="845"/>
      <c r="C52" s="845"/>
      <c r="D52" s="845"/>
      <c r="E52" s="845"/>
      <c r="F52" s="845"/>
      <c r="G52" s="845"/>
      <c r="I52" s="847" t="s">
        <v>1507</v>
      </c>
      <c r="J52" s="845"/>
      <c r="K52" s="845"/>
      <c r="L52" s="845"/>
      <c r="M52" s="845"/>
      <c r="N52" s="845"/>
      <c r="O52" s="845"/>
    </row>
    <row r="53" spans="1:15">
      <c r="A53" s="264" t="s">
        <v>1430</v>
      </c>
      <c r="B53" s="264" t="s">
        <v>1486</v>
      </c>
      <c r="C53" s="264" t="s">
        <v>1487</v>
      </c>
      <c r="D53" s="264" t="s">
        <v>1488</v>
      </c>
      <c r="E53" s="264" t="s">
        <v>1489</v>
      </c>
      <c r="F53" s="264" t="s">
        <v>1490</v>
      </c>
      <c r="G53" s="264" t="s">
        <v>1007</v>
      </c>
      <c r="I53" s="264" t="s">
        <v>1402</v>
      </c>
      <c r="J53" s="264" t="s">
        <v>1403</v>
      </c>
      <c r="K53" s="264" t="s">
        <v>444</v>
      </c>
      <c r="L53" s="264" t="s">
        <v>1491</v>
      </c>
      <c r="M53" s="264" t="s">
        <v>1492</v>
      </c>
      <c r="N53" s="264" t="s">
        <v>1493</v>
      </c>
      <c r="O53" s="264" t="s">
        <v>1494</v>
      </c>
    </row>
    <row r="54" spans="1:15">
      <c r="A54" s="265">
        <f>'Voters Master'!$B$5</f>
      </c>
      <c r="B54" s="265" t="s">
        <v>1495</v>
      </c>
      <c r="C54" s="266" t="s">
        <v>1508</v>
      </c>
      <c r="D54" s="266" t="s">
        <v>1509</v>
      </c>
      <c r="E54" s="266" t="s">
        <v>1510</v>
      </c>
      <c r="F54" s="378">
        <f t="shared" ref="F54:F74" si="2">IF(OR(AND(C54&lt;&gt;"",C54=D54),AND(C54&lt;&gt;"",C54=E54),AND(D54&lt;&gt;"",D54=E54)),"❌ Duplicate",IF(B54="Referee Crew","✅",IF(OR(ISNUMBER(SEARCH(B54,C54)),ISNUMBER(SEARCH(B54,D54)),ISNUMBER(SEARCH(B54,E54))),"❌ Own Team","✅")))</f>
      </c>
      <c r="G54" s="265"/>
      <c r="I54" s="380">
        <v>1</v>
      </c>
      <c r="J54" s="265" cm="1">
        <f t="array" ref="J54:O54">IFERROR(_xlfn.LET(
        _xlpm.votes1,C54:C74,
        _xlpm.votes2,D54:D74,
        _xlpm.votes3,E54:E74,
        _xlpm.allVotes,_xlfn._xlws.FILTER(_xlfn.VSTACK(_xlpm.votes1,_xlpm.votes2,_xlpm.votes3),_xlfn.VSTACK(_xlpm.votes1,_xlpm.votes2,_xlpm.votes3)&lt;&gt;""),
        _xlpm.uniquePlayers,_xlfn.UNIQUE(_xlpm.allVotes),
        _xlpm.count1,_xlfn.MAP(_xlpm.uniquePlayers,_xlfn.LAMBDA(_xlpm.p,COUNTIF(_xlpm.votes1,_xlpm.p))),
        _xlpm.count2,_xlfn.MAP(_xlpm.uniquePlayers,_xlfn.LAMBDA(_xlpm.p,COUNTIF(_xlpm.votes2,_xlpm.p))),
        _xlpm.count3,_xlfn.MAP(_xlpm.uniquePlayers,_xlfn.LAMBDA(_xlpm.p,COUNTIF(_xlpm.votes3,_xlpm.p))),
        _xlpm.totalPts,_xlpm.count1*3+_xlpm.count2*2+_xlpm.count3*1,
        _xlpm.teamNames,_xlfn.MAP(_xlpm.uniquePlayers,_xlfn.LAMBDA(_xlpm.p,TRIM(LEFT(_xlpm.p,FIND(" #",_xlpm.p)-1)))),
        _xlpm.playerNames,_xlfn.MAP(_xlpm.uniquePlayers,_xlfn.LAMBDA(_xlpm.p,TRIM(MID(_xlpm.p,FIND(", ",_xlpm.p)+2,100)))),
        _xlpm.results,_xlfn.HSTACK(_xlpm.playerNames,_xlpm.teamNames,_xlpm.count1,_xlpm.count2,_xlpm.count3,_xlpm.totalPts),
        _xlpm.sorted,_xlfn._xlws.SORT(_xlpm.results,{6,3},{-1,-1}),
        INDEX(_xlpm.sorted,_xlfn.SEQUENCE(MIN(15,ROWS(_xlpm.sorted))),_xlfn.SEQUENCE(1,6))
    ),"")</f>
      </c>
      <c r="K54" s="265"/>
      <c r="L54" s="265"/>
      <c r="M54" s="265"/>
      <c r="N54" s="265"/>
      <c r="O54" s="265"/>
    </row>
    <row r="55" spans="1:15">
      <c r="A55" s="267">
        <f>'Voters Master'!$B$6</f>
      </c>
      <c r="B55" s="267" t="s">
        <v>1495</v>
      </c>
      <c r="C55" s="266" t="s">
        <v>1509</v>
      </c>
      <c r="D55" s="266" t="s">
        <v>1508</v>
      </c>
      <c r="E55" s="266" t="s">
        <v>1511</v>
      </c>
      <c r="F55" s="378">
        <f t="shared" si="2"/>
      </c>
      <c r="G55" s="265"/>
      <c r="I55" s="380">
        <v>2</v>
      </c>
      <c r="J55" s="265"/>
      <c r="K55" s="265"/>
      <c r="L55" s="265"/>
      <c r="M55" s="265"/>
      <c r="N55" s="265"/>
      <c r="O55" s="265"/>
    </row>
    <row r="56" spans="1:15">
      <c r="A56" s="265">
        <f>'Voters Master'!$B$7</f>
      </c>
      <c r="B56" s="265" t="s">
        <v>1495</v>
      </c>
      <c r="C56" s="266" t="s">
        <v>1508</v>
      </c>
      <c r="D56" s="266" t="s">
        <v>1509</v>
      </c>
      <c r="E56" s="266" t="s">
        <v>1510</v>
      </c>
      <c r="F56" s="378">
        <f t="shared" si="2"/>
      </c>
      <c r="G56" s="265"/>
      <c r="I56" s="380">
        <v>3</v>
      </c>
      <c r="J56" s="265"/>
      <c r="K56" s="265"/>
      <c r="L56" s="265"/>
      <c r="M56" s="265"/>
      <c r="N56" s="265"/>
      <c r="O56" s="265"/>
    </row>
    <row r="57" spans="1:15">
      <c r="A57" s="267">
        <f>'Voters Master'!$B$8</f>
      </c>
      <c r="B57" s="267" t="s">
        <v>1495</v>
      </c>
      <c r="C57" s="266"/>
      <c r="D57" s="266"/>
      <c r="E57" s="266"/>
      <c r="F57" s="378">
        <f t="shared" si="2"/>
      </c>
      <c r="G57" s="265"/>
      <c r="I57" s="380">
        <v>4</v>
      </c>
      <c r="J57" s="265"/>
      <c r="K57" s="265"/>
      <c r="L57" s="265"/>
      <c r="M57" s="265"/>
      <c r="N57" s="265"/>
      <c r="O57" s="265"/>
    </row>
    <row r="58" spans="1:15">
      <c r="A58" s="265">
        <f>'Voters Master'!$B$9</f>
      </c>
      <c r="B58" s="265" t="s">
        <v>1495</v>
      </c>
      <c r="C58" s="266"/>
      <c r="D58" s="266"/>
      <c r="E58" s="266"/>
      <c r="F58" s="378">
        <f t="shared" si="2"/>
      </c>
      <c r="G58" s="265"/>
      <c r="I58" s="380">
        <v>5</v>
      </c>
      <c r="J58" s="265"/>
      <c r="K58" s="265"/>
      <c r="L58" s="265"/>
      <c r="M58" s="265"/>
      <c r="N58" s="265"/>
      <c r="O58" s="265"/>
    </row>
    <row r="59" spans="1:15">
      <c r="A59" s="267">
        <f>'Voters Master'!$B$10</f>
      </c>
      <c r="B59" s="267" t="s">
        <v>1495</v>
      </c>
      <c r="C59" s="266"/>
      <c r="D59" s="266"/>
      <c r="E59" s="266"/>
      <c r="F59" s="378">
        <f t="shared" si="2"/>
      </c>
      <c r="G59" s="265"/>
      <c r="I59" s="380">
        <v>6</v>
      </c>
      <c r="J59" s="265"/>
      <c r="K59" s="265"/>
      <c r="L59" s="265"/>
      <c r="M59" s="265"/>
      <c r="N59" s="265"/>
      <c r="O59" s="265"/>
    </row>
    <row r="60" spans="1:15">
      <c r="A60" s="265">
        <f>'Voters Master'!$B$11</f>
      </c>
      <c r="B60" s="265" t="s">
        <v>1495</v>
      </c>
      <c r="C60" s="266"/>
      <c r="D60" s="266"/>
      <c r="E60" s="266"/>
      <c r="F60" s="378">
        <f t="shared" si="2"/>
      </c>
      <c r="G60" s="265"/>
      <c r="I60" s="380">
        <v>7</v>
      </c>
      <c r="J60" s="265"/>
      <c r="K60" s="265"/>
      <c r="L60" s="265"/>
      <c r="M60" s="265"/>
      <c r="N60" s="265"/>
      <c r="O60" s="265"/>
    </row>
    <row r="61" spans="1:15">
      <c r="A61" s="267">
        <f>'Voters Master'!$B$12</f>
      </c>
      <c r="B61" s="267" t="s">
        <v>1495</v>
      </c>
      <c r="C61" s="266"/>
      <c r="D61" s="266"/>
      <c r="E61" s="266"/>
      <c r="F61" s="378">
        <f t="shared" si="2"/>
      </c>
      <c r="G61" s="265"/>
      <c r="I61" s="380">
        <v>8</v>
      </c>
      <c r="J61" s="265"/>
      <c r="K61" s="265"/>
      <c r="L61" s="265"/>
      <c r="M61" s="265"/>
      <c r="N61" s="265"/>
      <c r="O61" s="265"/>
    </row>
    <row r="62" spans="1:15">
      <c r="A62" s="265">
        <f>IF('Voters Master'!$B$14="","(Official A, "&amp;'Voters Master'!$D$14&amp;")",'Voters Master'!$B$14)</f>
      </c>
      <c r="B62" s="265">
        <f>'Voters Master'!$D$14</f>
      </c>
      <c r="C62" s="266"/>
      <c r="D62" s="266"/>
      <c r="E62" s="266"/>
      <c r="F62" s="378">
        <f t="shared" si="2"/>
      </c>
      <c r="G62" s="265"/>
      <c r="I62" s="380">
        <v>9</v>
      </c>
      <c r="J62" s="265"/>
      <c r="K62" s="265"/>
      <c r="L62" s="265"/>
      <c r="M62" s="265"/>
      <c r="N62" s="265"/>
      <c r="O62" s="265"/>
    </row>
    <row r="63" spans="1:15">
      <c r="A63" s="267">
        <f>IF('Voters Master'!$B$15="","(Official A, "&amp;'Voters Master'!$D$15&amp;")",'Voters Master'!$B$15)</f>
      </c>
      <c r="B63" s="267">
        <f>'Voters Master'!$D$15</f>
      </c>
      <c r="C63" s="266" t="s">
        <v>1510</v>
      </c>
      <c r="D63" s="266" t="s">
        <v>1508</v>
      </c>
      <c r="E63" s="266" t="s">
        <v>1512</v>
      </c>
      <c r="F63" s="378">
        <f t="shared" si="2"/>
      </c>
      <c r="G63" s="265"/>
      <c r="I63" s="380">
        <v>10</v>
      </c>
      <c r="J63" s="265"/>
      <c r="K63" s="265"/>
      <c r="L63" s="265"/>
      <c r="M63" s="265"/>
      <c r="N63" s="265"/>
      <c r="O63" s="265"/>
    </row>
    <row r="64" spans="1:15">
      <c r="A64" s="265">
        <f>IF('Voters Master'!$B$16="","(Official A, "&amp;'Voters Master'!$D$16&amp;")",'Voters Master'!$B$16)</f>
      </c>
      <c r="B64" s="265">
        <f>'Voters Master'!$D$16</f>
      </c>
      <c r="C64" s="266" t="s">
        <v>1508</v>
      </c>
      <c r="D64" s="266" t="s">
        <v>1509</v>
      </c>
      <c r="E64" s="266" t="s">
        <v>1510</v>
      </c>
      <c r="F64" s="378">
        <f t="shared" si="2"/>
      </c>
      <c r="G64" s="265"/>
      <c r="I64" s="380">
        <v>11</v>
      </c>
      <c r="J64" s="265"/>
      <c r="K64" s="265"/>
      <c r="L64" s="265"/>
      <c r="M64" s="265"/>
      <c r="N64" s="265"/>
      <c r="O64" s="265"/>
    </row>
    <row r="65" spans="1:15">
      <c r="A65" s="267">
        <f>IF('Voters Master'!$B$17="","(Official A, "&amp;'Voters Master'!$D$17&amp;")",'Voters Master'!$B$17)</f>
      </c>
      <c r="B65" s="267">
        <f>'Voters Master'!$D$17</f>
      </c>
      <c r="C65" s="266"/>
      <c r="D65" s="266"/>
      <c r="E65" s="266"/>
      <c r="F65" s="378">
        <f t="shared" si="2"/>
      </c>
      <c r="G65" s="265"/>
      <c r="I65" s="380">
        <v>12</v>
      </c>
      <c r="J65" s="265"/>
      <c r="K65" s="265"/>
      <c r="L65" s="265"/>
      <c r="M65" s="265"/>
      <c r="N65" s="265"/>
      <c r="O65" s="265"/>
    </row>
    <row r="66" spans="1:15">
      <c r="A66" s="265">
        <f>IF('Voters Master'!$B$18="","(Official A, "&amp;'Voters Master'!$D$18&amp;")",'Voters Master'!$B$18)</f>
      </c>
      <c r="B66" s="265">
        <f>'Voters Master'!$D$18</f>
      </c>
      <c r="C66" s="266"/>
      <c r="D66" s="266"/>
      <c r="E66" s="266"/>
      <c r="F66" s="378">
        <f t="shared" si="2"/>
      </c>
      <c r="G66" s="265"/>
      <c r="I66" s="380">
        <v>13</v>
      </c>
      <c r="J66" s="265"/>
      <c r="K66" s="265"/>
      <c r="L66" s="265"/>
      <c r="M66" s="265"/>
      <c r="N66" s="265"/>
      <c r="O66" s="265"/>
    </row>
    <row r="67" spans="1:15">
      <c r="A67" s="267">
        <f>IF('Voters Master'!$B$19="","(Official A, "&amp;'Voters Master'!$D$19&amp;")",'Voters Master'!$B$19)</f>
      </c>
      <c r="B67" s="267">
        <f>'Voters Master'!$D$19</f>
      </c>
      <c r="C67" s="266"/>
      <c r="D67" s="266"/>
      <c r="E67" s="266"/>
      <c r="F67" s="378">
        <f t="shared" si="2"/>
      </c>
      <c r="G67" s="265"/>
      <c r="I67" s="380">
        <v>14</v>
      </c>
      <c r="J67" s="265"/>
      <c r="K67" s="265"/>
      <c r="L67" s="265"/>
      <c r="M67" s="265"/>
      <c r="N67" s="265"/>
      <c r="O67" s="265"/>
    </row>
    <row r="68" spans="1:15">
      <c r="A68" s="265">
        <f>IF('Voters Master'!$B$20="","(Official A, "&amp;'Voters Master'!$D$20&amp;")",'Voters Master'!$B$20)</f>
      </c>
      <c r="B68" s="265">
        <f>'Voters Master'!$D$20</f>
      </c>
      <c r="C68" s="266"/>
      <c r="D68" s="266"/>
      <c r="E68" s="266"/>
      <c r="F68" s="378">
        <f t="shared" si="2"/>
      </c>
      <c r="G68" s="265"/>
      <c r="I68" s="380">
        <v>15</v>
      </c>
      <c r="J68" s="265"/>
      <c r="K68" s="265"/>
      <c r="L68" s="265"/>
      <c r="M68" s="265"/>
      <c r="N68" s="265"/>
      <c r="O68" s="265"/>
    </row>
    <row r="69" spans="1:15">
      <c r="A69" s="267">
        <f>IF('Voters Master'!$B$21="","(Official A, "&amp;'Voters Master'!$D$21&amp;")",'Voters Master'!$B$21)</f>
      </c>
      <c r="B69" s="267">
        <f>'Voters Master'!$D$21</f>
      </c>
      <c r="C69" s="266"/>
      <c r="D69" s="266"/>
      <c r="E69" s="266"/>
      <c r="F69" s="378">
        <f t="shared" si="2"/>
      </c>
      <c r="G69" s="265"/>
    </row>
    <row r="70" spans="1:15">
      <c r="A70" s="265">
        <f>IF('Voters Master'!$B$22="","(Official A, "&amp;'Voters Master'!$D$22&amp;")",'Voters Master'!$B$22)</f>
      </c>
      <c r="B70" s="265">
        <f>'Voters Master'!$D$22</f>
      </c>
      <c r="C70" s="266"/>
      <c r="D70" s="266"/>
      <c r="E70" s="266"/>
      <c r="F70" s="378">
        <f t="shared" si="2"/>
      </c>
      <c r="G70" s="265"/>
    </row>
    <row r="71" spans="1:15">
      <c r="A71" s="267">
        <f>IF('Voters Master'!$B$23="","(Official A, "&amp;'Voters Master'!$D$23&amp;")",'Voters Master'!$B$23)</f>
      </c>
      <c r="B71" s="267">
        <f>'Voters Master'!$D$23</f>
      </c>
      <c r="C71" s="266"/>
      <c r="D71" s="266"/>
      <c r="E71" s="266"/>
      <c r="F71" s="378">
        <f t="shared" si="2"/>
      </c>
      <c r="G71" s="265"/>
    </row>
    <row r="72" spans="1:15">
      <c r="A72" s="265">
        <f>IF('Voters Master'!$B$24="","(Official A, "&amp;'Voters Master'!$D$24&amp;")",'Voters Master'!$B$24)</f>
      </c>
      <c r="B72" s="265">
        <f>'Voters Master'!$D$24</f>
      </c>
      <c r="C72" s="266"/>
      <c r="D72" s="266"/>
      <c r="E72" s="266"/>
      <c r="F72" s="378">
        <f t="shared" si="2"/>
      </c>
      <c r="G72" s="265"/>
    </row>
    <row r="73" spans="1:15">
      <c r="A73" s="267">
        <f>IF('Voters Master'!$B$25="","(Official A, "&amp;'Voters Master'!$D$25&amp;")",'Voters Master'!$B$25)</f>
      </c>
      <c r="B73" s="267">
        <f>'Voters Master'!$D$25</f>
      </c>
      <c r="C73" s="266"/>
      <c r="D73" s="266"/>
      <c r="E73" s="266"/>
      <c r="F73" s="378">
        <f t="shared" si="2"/>
      </c>
      <c r="G73" s="265"/>
    </row>
    <row r="74" spans="1:15">
      <c r="A74" s="265">
        <f>IF('Voters Master'!$B$26="","(Official A, "&amp;'Voters Master'!$D$26&amp;")",'Voters Master'!$B$26)</f>
      </c>
      <c r="B74" s="265">
        <f>'Voters Master'!$D$26</f>
      </c>
      <c r="C74" s="266"/>
      <c r="D74" s="266"/>
      <c r="E74" s="266"/>
      <c r="F74" s="378">
        <f t="shared" si="2"/>
      </c>
      <c r="G74" s="265"/>
    </row>
    <row r="76" spans="1:15">
      <c r="A76" s="847" t="s">
        <v>1513</v>
      </c>
      <c r="B76" s="845"/>
      <c r="C76" s="845"/>
      <c r="D76" s="845"/>
      <c r="E76" s="845"/>
      <c r="F76" s="845"/>
      <c r="G76" s="845"/>
      <c r="I76" s="847" t="s">
        <v>1514</v>
      </c>
      <c r="J76" s="845"/>
      <c r="K76" s="845"/>
      <c r="L76" s="845"/>
      <c r="M76" s="845"/>
      <c r="N76" s="845"/>
      <c r="O76" s="845"/>
    </row>
    <row r="77" spans="1:15">
      <c r="A77" s="264" t="s">
        <v>1430</v>
      </c>
      <c r="B77" s="264" t="s">
        <v>1486</v>
      </c>
      <c r="C77" s="264" t="s">
        <v>1487</v>
      </c>
      <c r="D77" s="264" t="s">
        <v>1488</v>
      </c>
      <c r="E77" s="264" t="s">
        <v>1489</v>
      </c>
      <c r="F77" s="264" t="s">
        <v>1490</v>
      </c>
      <c r="G77" s="264" t="s">
        <v>1007</v>
      </c>
      <c r="I77" s="264" t="s">
        <v>1402</v>
      </c>
      <c r="J77" s="264" t="s">
        <v>1403</v>
      </c>
      <c r="K77" s="264" t="s">
        <v>444</v>
      </c>
      <c r="L77" s="264" t="s">
        <v>1491</v>
      </c>
      <c r="M77" s="264" t="s">
        <v>1492</v>
      </c>
      <c r="N77" s="264" t="s">
        <v>1493</v>
      </c>
      <c r="O77" s="264" t="s">
        <v>1494</v>
      </c>
    </row>
    <row r="78" spans="1:15">
      <c r="A78" s="265">
        <f>'Voters Master'!$B$5</f>
      </c>
      <c r="B78" s="265" t="s">
        <v>1495</v>
      </c>
      <c r="C78" s="266" t="s">
        <v>1515</v>
      </c>
      <c r="D78" s="266" t="s">
        <v>1516</v>
      </c>
      <c r="E78" s="266" t="s">
        <v>1517</v>
      </c>
      <c r="F78" s="378">
        <f t="shared" ref="F78:F98" si="3">IF(OR(AND(C78&lt;&gt;"",C78=D78),AND(C78&lt;&gt;"",C78=E78),AND(D78&lt;&gt;"",D78=E78)),"❌ Duplicate",IF(B78="Referee Crew","✅",IF(OR(ISNUMBER(SEARCH(B78,C78)),ISNUMBER(SEARCH(B78,D78)),ISNUMBER(SEARCH(B78,E78))),"❌ Own Team","✅")))</f>
      </c>
      <c r="G78" s="265"/>
      <c r="I78" s="380">
        <v>1</v>
      </c>
      <c r="J78" s="265" cm="1">
        <f t="array" ref="J78:O78">IFERROR(_xlfn.LET(
        _xlpm.votes1,C78:C98,
        _xlpm.votes2,D78:D98,
        _xlpm.votes3,E78:E98,
        _xlpm.allVotes,_xlfn._xlws.FILTER(_xlfn.VSTACK(_xlpm.votes1,_xlpm.votes2,_xlpm.votes3),_xlfn.VSTACK(_xlpm.votes1,_xlpm.votes2,_xlpm.votes3)&lt;&gt;""),
        _xlpm.uniquePlayers,_xlfn.UNIQUE(_xlpm.allVotes),
        _xlpm.count1,_xlfn.MAP(_xlpm.uniquePlayers,_xlfn.LAMBDA(_xlpm.p,COUNTIF(_xlpm.votes1,_xlpm.p))),
        _xlpm.count2,_xlfn.MAP(_xlpm.uniquePlayers,_xlfn.LAMBDA(_xlpm.p,COUNTIF(_xlpm.votes2,_xlpm.p))),
        _xlpm.count3,_xlfn.MAP(_xlpm.uniquePlayers,_xlfn.LAMBDA(_xlpm.p,COUNTIF(_xlpm.votes3,_xlpm.p))),
        _xlpm.totalPts,_xlpm.count1*3+_xlpm.count2*2+_xlpm.count3*1,
        _xlpm.teamNames,_xlfn.MAP(_xlpm.uniquePlayers,_xlfn.LAMBDA(_xlpm.p,TRIM(LEFT(_xlpm.p,FIND(" #",_xlpm.p)-1)))),
        _xlpm.playerNames,_xlfn.MAP(_xlpm.uniquePlayers,_xlfn.LAMBDA(_xlpm.p,TRIM(MID(_xlpm.p,FIND(", ",_xlpm.p)+2,100)))),
        _xlpm.results,_xlfn.HSTACK(_xlpm.playerNames,_xlpm.teamNames,_xlpm.count1,_xlpm.count2,_xlpm.count3,_xlpm.totalPts),
        _xlpm.sorted,_xlfn._xlws.SORT(_xlpm.results,{6,3},{-1,-1}),
        INDEX(_xlpm.sorted,_xlfn.SEQUENCE(MIN(15,ROWS(_xlpm.sorted))),_xlfn.SEQUENCE(1,6))
    ),"")</f>
      </c>
      <c r="K78" s="265"/>
      <c r="L78" s="265"/>
      <c r="M78" s="265"/>
      <c r="N78" s="265"/>
      <c r="O78" s="265"/>
    </row>
    <row r="79" spans="1:15">
      <c r="A79" s="267">
        <f>'Voters Master'!$B$6</f>
      </c>
      <c r="B79" s="267" t="s">
        <v>1495</v>
      </c>
      <c r="C79" s="266" t="s">
        <v>1516</v>
      </c>
      <c r="D79" s="266" t="s">
        <v>1515</v>
      </c>
      <c r="E79" s="266" t="s">
        <v>1518</v>
      </c>
      <c r="F79" s="378">
        <f t="shared" si="3"/>
      </c>
      <c r="G79" s="265"/>
      <c r="I79" s="380">
        <v>2</v>
      </c>
      <c r="J79" s="265"/>
      <c r="K79" s="265"/>
      <c r="L79" s="265"/>
      <c r="M79" s="265"/>
      <c r="N79" s="265"/>
      <c r="O79" s="265"/>
    </row>
    <row r="80" spans="1:15">
      <c r="A80" s="265">
        <f>'Voters Master'!$B$7</f>
      </c>
      <c r="B80" s="265" t="s">
        <v>1495</v>
      </c>
      <c r="C80" s="266" t="s">
        <v>1515</v>
      </c>
      <c r="D80" s="266" t="s">
        <v>1516</v>
      </c>
      <c r="E80" s="266" t="s">
        <v>1517</v>
      </c>
      <c r="F80" s="378">
        <f t="shared" si="3"/>
      </c>
      <c r="G80" s="265"/>
      <c r="I80" s="380">
        <v>3</v>
      </c>
      <c r="J80" s="265"/>
      <c r="K80" s="265"/>
      <c r="L80" s="265"/>
      <c r="M80" s="265"/>
      <c r="N80" s="265"/>
      <c r="O80" s="265"/>
    </row>
    <row r="81" spans="1:15">
      <c r="A81" s="267">
        <f>'Voters Master'!$B$8</f>
      </c>
      <c r="B81" s="267" t="s">
        <v>1495</v>
      </c>
      <c r="C81" s="266"/>
      <c r="D81" s="266"/>
      <c r="E81" s="266"/>
      <c r="F81" s="378">
        <f t="shared" si="3"/>
      </c>
      <c r="G81" s="265"/>
      <c r="I81" s="380">
        <v>4</v>
      </c>
      <c r="J81" s="265"/>
      <c r="K81" s="265"/>
      <c r="L81" s="265"/>
      <c r="M81" s="265"/>
      <c r="N81" s="265"/>
      <c r="O81" s="265"/>
    </row>
    <row r="82" spans="1:15">
      <c r="A82" s="265">
        <f>'Voters Master'!$B$9</f>
      </c>
      <c r="B82" s="265" t="s">
        <v>1495</v>
      </c>
      <c r="C82" s="266"/>
      <c r="D82" s="266"/>
      <c r="E82" s="266"/>
      <c r="F82" s="378">
        <f t="shared" si="3"/>
      </c>
      <c r="G82" s="265"/>
      <c r="I82" s="380">
        <v>5</v>
      </c>
      <c r="J82" s="265"/>
      <c r="K82" s="265"/>
      <c r="L82" s="265"/>
      <c r="M82" s="265"/>
      <c r="N82" s="265"/>
      <c r="O82" s="265"/>
    </row>
    <row r="83" spans="1:15">
      <c r="A83" s="267">
        <f>'Voters Master'!$B$10</f>
      </c>
      <c r="B83" s="267" t="s">
        <v>1495</v>
      </c>
      <c r="C83" s="266"/>
      <c r="D83" s="266"/>
      <c r="E83" s="266"/>
      <c r="F83" s="378">
        <f t="shared" si="3"/>
      </c>
      <c r="G83" s="265"/>
      <c r="I83" s="380">
        <v>6</v>
      </c>
      <c r="J83" s="265"/>
      <c r="K83" s="265"/>
      <c r="L83" s="265"/>
      <c r="M83" s="265"/>
      <c r="N83" s="265"/>
      <c r="O83" s="265"/>
    </row>
    <row r="84" spans="1:15">
      <c r="A84" s="265">
        <f>'Voters Master'!$B$11</f>
      </c>
      <c r="B84" s="265" t="s">
        <v>1495</v>
      </c>
      <c r="C84" s="266"/>
      <c r="D84" s="266"/>
      <c r="E84" s="266"/>
      <c r="F84" s="378">
        <f t="shared" si="3"/>
      </c>
      <c r="G84" s="265"/>
      <c r="I84" s="380">
        <v>7</v>
      </c>
      <c r="J84" s="265"/>
      <c r="K84" s="265"/>
      <c r="L84" s="265"/>
      <c r="M84" s="265"/>
      <c r="N84" s="265"/>
      <c r="O84" s="265"/>
    </row>
    <row r="85" spans="1:15">
      <c r="A85" s="267">
        <f>'Voters Master'!$B$12</f>
      </c>
      <c r="B85" s="267" t="s">
        <v>1495</v>
      </c>
      <c r="C85" s="266"/>
      <c r="D85" s="266"/>
      <c r="E85" s="266"/>
      <c r="F85" s="378">
        <f t="shared" si="3"/>
      </c>
      <c r="G85" s="265"/>
      <c r="I85" s="380">
        <v>8</v>
      </c>
      <c r="J85" s="265"/>
      <c r="K85" s="265"/>
      <c r="L85" s="265"/>
      <c r="M85" s="265"/>
      <c r="N85" s="265"/>
      <c r="O85" s="265"/>
    </row>
    <row r="86" spans="1:15">
      <c r="A86" s="265">
        <f>IF('Voters Master'!$B$14="","(Official A, "&amp;'Voters Master'!$D$14&amp;")",'Voters Master'!$B$14)</f>
      </c>
      <c r="B86" s="265">
        <f>'Voters Master'!$D$14</f>
      </c>
      <c r="C86" s="266" t="s">
        <v>1517</v>
      </c>
      <c r="D86" s="266" t="s">
        <v>1515</v>
      </c>
      <c r="E86" s="266" t="s">
        <v>1519</v>
      </c>
      <c r="F86" s="378">
        <f t="shared" si="3"/>
      </c>
      <c r="G86" s="265"/>
      <c r="I86" s="380">
        <v>9</v>
      </c>
      <c r="J86" s="265"/>
      <c r="K86" s="265"/>
      <c r="L86" s="265"/>
      <c r="M86" s="265"/>
      <c r="N86" s="265"/>
      <c r="O86" s="265"/>
    </row>
    <row r="87" spans="1:15">
      <c r="A87" s="267">
        <f>IF('Voters Master'!$B$15="","(Official A, "&amp;'Voters Master'!$D$15&amp;")",'Voters Master'!$B$15)</f>
      </c>
      <c r="B87" s="267">
        <f>'Voters Master'!$D$15</f>
      </c>
      <c r="C87" s="266"/>
      <c r="D87" s="266"/>
      <c r="E87" s="266"/>
      <c r="F87" s="378">
        <f t="shared" si="3"/>
      </c>
      <c r="G87" s="265"/>
      <c r="I87" s="380">
        <v>10</v>
      </c>
      <c r="J87" s="265"/>
      <c r="K87" s="265"/>
      <c r="L87" s="265"/>
      <c r="M87" s="265"/>
      <c r="N87" s="265"/>
      <c r="O87" s="265"/>
    </row>
    <row r="88" spans="1:15">
      <c r="A88" s="265">
        <f>IF('Voters Master'!$B$16="","(Official A, "&amp;'Voters Master'!$D$16&amp;")",'Voters Master'!$B$16)</f>
      </c>
      <c r="B88" s="265">
        <f>'Voters Master'!$D$16</f>
      </c>
      <c r="C88" s="266" t="s">
        <v>1516</v>
      </c>
      <c r="D88" s="266" t="s">
        <v>1517</v>
      </c>
      <c r="E88" s="266" t="s">
        <v>1518</v>
      </c>
      <c r="F88" s="378">
        <f t="shared" si="3"/>
      </c>
      <c r="G88" s="265"/>
      <c r="I88" s="380">
        <v>11</v>
      </c>
      <c r="J88" s="265"/>
      <c r="K88" s="265"/>
      <c r="L88" s="265"/>
      <c r="M88" s="265"/>
      <c r="N88" s="265"/>
      <c r="O88" s="265"/>
    </row>
    <row r="89" spans="1:15">
      <c r="A89" s="267">
        <f>IF('Voters Master'!$B$17="","(Official A, "&amp;'Voters Master'!$D$17&amp;")",'Voters Master'!$B$17)</f>
      </c>
      <c r="B89" s="267">
        <f>'Voters Master'!$D$17</f>
      </c>
      <c r="C89" s="266"/>
      <c r="D89" s="266"/>
      <c r="E89" s="266"/>
      <c r="F89" s="378">
        <f t="shared" si="3"/>
      </c>
      <c r="G89" s="265"/>
      <c r="I89" s="380">
        <v>12</v>
      </c>
      <c r="J89" s="265"/>
      <c r="K89" s="265"/>
      <c r="L89" s="265"/>
      <c r="M89" s="265"/>
      <c r="N89" s="265"/>
      <c r="O89" s="265"/>
    </row>
    <row r="90" spans="1:15">
      <c r="A90" s="265">
        <f>IF('Voters Master'!$B$18="","(Official A, "&amp;'Voters Master'!$D$18&amp;")",'Voters Master'!$B$18)</f>
      </c>
      <c r="B90" s="265">
        <f>'Voters Master'!$D$18</f>
      </c>
      <c r="C90" s="266"/>
      <c r="D90" s="266"/>
      <c r="E90" s="266"/>
      <c r="F90" s="378">
        <f t="shared" si="3"/>
      </c>
      <c r="G90" s="265"/>
      <c r="I90" s="380">
        <v>13</v>
      </c>
      <c r="J90" s="265"/>
      <c r="K90" s="265"/>
      <c r="L90" s="265"/>
      <c r="M90" s="265"/>
      <c r="N90" s="265"/>
      <c r="O90" s="265"/>
    </row>
    <row r="91" spans="1:15">
      <c r="A91" s="267">
        <f>IF('Voters Master'!$B$19="","(Official A, "&amp;'Voters Master'!$D$19&amp;")",'Voters Master'!$B$19)</f>
      </c>
      <c r="B91" s="267">
        <f>'Voters Master'!$D$19</f>
      </c>
      <c r="C91" s="266"/>
      <c r="D91" s="266"/>
      <c r="E91" s="266"/>
      <c r="F91" s="378">
        <f t="shared" si="3"/>
      </c>
      <c r="G91" s="265"/>
      <c r="I91" s="380">
        <v>14</v>
      </c>
      <c r="J91" s="265"/>
      <c r="K91" s="265"/>
      <c r="L91" s="265"/>
      <c r="M91" s="265"/>
      <c r="N91" s="265"/>
      <c r="O91" s="265"/>
    </row>
    <row r="92" spans="1:15">
      <c r="A92" s="265">
        <f>IF('Voters Master'!$B$20="","(Official A, "&amp;'Voters Master'!$D$20&amp;")",'Voters Master'!$B$20)</f>
      </c>
      <c r="B92" s="265">
        <f>'Voters Master'!$D$20</f>
      </c>
      <c r="C92" s="266"/>
      <c r="D92" s="266"/>
      <c r="E92" s="266"/>
      <c r="F92" s="378">
        <f t="shared" si="3"/>
      </c>
      <c r="G92" s="265"/>
      <c r="I92" s="380">
        <v>15</v>
      </c>
      <c r="J92" s="265"/>
      <c r="K92" s="265"/>
      <c r="L92" s="265"/>
      <c r="M92" s="265"/>
      <c r="N92" s="265"/>
      <c r="O92" s="265"/>
    </row>
    <row r="93" spans="1:15">
      <c r="A93" s="267">
        <f>IF('Voters Master'!$B$21="","(Official A, "&amp;'Voters Master'!$D$21&amp;")",'Voters Master'!$B$21)</f>
      </c>
      <c r="B93" s="267">
        <f>'Voters Master'!$D$21</f>
      </c>
      <c r="C93" s="266"/>
      <c r="D93" s="266"/>
      <c r="E93" s="266"/>
      <c r="F93" s="378">
        <f t="shared" si="3"/>
      </c>
      <c r="G93" s="265"/>
    </row>
    <row r="94" spans="1:15">
      <c r="A94" s="265">
        <f>IF('Voters Master'!$B$22="","(Official A, "&amp;'Voters Master'!$D$22&amp;")",'Voters Master'!$B$22)</f>
      </c>
      <c r="B94" s="265">
        <f>'Voters Master'!$D$22</f>
      </c>
      <c r="C94" s="266"/>
      <c r="D94" s="266"/>
      <c r="E94" s="266"/>
      <c r="F94" s="378">
        <f t="shared" si="3"/>
      </c>
      <c r="G94" s="265"/>
    </row>
    <row r="95" spans="1:15">
      <c r="A95" s="267">
        <f>IF('Voters Master'!$B$23="","(Official A, "&amp;'Voters Master'!$D$23&amp;")",'Voters Master'!$B$23)</f>
      </c>
      <c r="B95" s="267">
        <f>'Voters Master'!$D$23</f>
      </c>
      <c r="C95" s="266"/>
      <c r="D95" s="266"/>
      <c r="E95" s="266"/>
      <c r="F95" s="378">
        <f t="shared" si="3"/>
      </c>
      <c r="G95" s="265"/>
    </row>
    <row r="96" spans="1:15">
      <c r="A96" s="265">
        <f>IF('Voters Master'!$B$24="","(Official A, "&amp;'Voters Master'!$D$24&amp;")",'Voters Master'!$B$24)</f>
      </c>
      <c r="B96" s="265">
        <f>'Voters Master'!$D$24</f>
      </c>
      <c r="C96" s="266"/>
      <c r="D96" s="266"/>
      <c r="E96" s="266"/>
      <c r="F96" s="378">
        <f t="shared" si="3"/>
      </c>
      <c r="G96" s="265"/>
    </row>
    <row r="97" spans="1:7">
      <c r="A97" s="267">
        <f>IF('Voters Master'!$B$25="","(Official A, "&amp;'Voters Master'!$D$25&amp;")",'Voters Master'!$B$25)</f>
      </c>
      <c r="B97" s="267">
        <f>'Voters Master'!$D$25</f>
      </c>
      <c r="C97" s="266"/>
      <c r="D97" s="266"/>
      <c r="E97" s="266"/>
      <c r="F97" s="378">
        <f t="shared" si="3"/>
      </c>
      <c r="G97" s="265"/>
    </row>
    <row r="98" spans="1:7">
      <c r="A98" s="265">
        <f>IF('Voters Master'!$B$26="","(Official A, "&amp;'Voters Master'!$D$26&amp;")",'Voters Master'!$B$26)</f>
      </c>
      <c r="B98" s="265">
        <f>'Voters Master'!$D$26</f>
      </c>
      <c r="C98" s="266"/>
      <c r="D98" s="266"/>
      <c r="E98" s="266"/>
      <c r="F98" s="378">
        <f t="shared" si="3"/>
      </c>
      <c r="G98" s="265"/>
    </row>
    <row r="100" spans="1:7" ht="18">
      <c r="A100" s="844" t="s">
        <v>1520</v>
      </c>
      <c r="B100" s="845"/>
      <c r="C100" s="845"/>
      <c r="D100" s="845"/>
    </row>
    <row r="101" spans="1:7">
      <c r="A101" s="257" t="s">
        <v>1405</v>
      </c>
      <c r="B101" s="257" t="s">
        <v>1521</v>
      </c>
      <c r="C101" s="257" t="s">
        <v>444</v>
      </c>
      <c r="D101" s="257" t="s">
        <v>1522</v>
      </c>
    </row>
    <row r="102" spans="1:7">
      <c r="A102" s="238" t="s">
        <v>1410</v>
      </c>
      <c r="B102" s="379">
        <f>IFERROR(J6,"")</f>
      </c>
      <c r="C102" s="379">
        <f>IFERROR(K6,"")</f>
      </c>
      <c r="D102" s="379">
        <f>IFERROR(O6,"")</f>
      </c>
    </row>
    <row r="103" spans="1:7">
      <c r="A103" s="238" t="s">
        <v>1411</v>
      </c>
      <c r="B103" s="263">
        <f>IFERROR(J30,"")</f>
      </c>
      <c r="C103" s="263">
        <f>IFERROR(K30,"")</f>
      </c>
      <c r="D103" s="263">
        <f>IFERROR(O30,"")</f>
      </c>
    </row>
    <row r="104" spans="1:7">
      <c r="A104" s="238" t="s">
        <v>1412</v>
      </c>
      <c r="B104" s="263">
        <f>IFERROR(J54,"")</f>
      </c>
      <c r="C104" s="263">
        <f>IFERROR(K54,"")</f>
      </c>
      <c r="D104" s="263">
        <f>IFERROR(O54,"")</f>
      </c>
    </row>
    <row r="105" spans="1:7">
      <c r="A105" s="238" t="s">
        <v>1413</v>
      </c>
      <c r="B105" s="263">
        <f>IFERROR(J78,"")</f>
      </c>
      <c r="C105" s="263">
        <f>IFERROR(K78,"")</f>
      </c>
      <c r="D105" s="263">
        <f>IFERROR(O78,"")</f>
      </c>
    </row>
  </sheetData>
  <mergeCells count="12">
    <mergeCell ref="A1:O1"/>
    <mergeCell ref="A2:O2"/>
    <mergeCell ref="A4:G4"/>
    <mergeCell ref="I4:O4"/>
    <mergeCell ref="A76:G76"/>
    <mergeCell ref="I76:O76"/>
    <mergeCell ref="A100:D100"/>
    <mergeCell ref="A3:O3"/>
    <mergeCell ref="A28:G28"/>
    <mergeCell ref="I28:O28"/>
    <mergeCell ref="A52:G52"/>
    <mergeCell ref="I52:O52"/>
  </mergeCells>
  <dataValidations count="4">
    <dataValidation type="list" allowBlank="1" showInputMessage="1" showErrorMessage="1" sqref="C6:C26 D6:D26 E6:E26" xr:uid="{3A578FDC-1A69-4781-8811-432BBD2A2FA0}">
      <formula1>MenFieldPlayers</formula1>
    </dataValidation>
    <dataValidation type="list" allowBlank="1" showInputMessage="1" showErrorMessage="1" sqref="C30:C50 D30:D50 E30:E50" xr:uid="{760E1B81-A051-460B-9774-58214637BC00}">
      <formula1>WomenFieldPlayers</formula1>
    </dataValidation>
    <dataValidation type="list" allowBlank="1" showInputMessage="1" showErrorMessage="1" sqref="C54:C74 D54:D74 E54:E74" xr:uid="{0EA6368B-3C1E-4A8C-B8A6-0FEF49C2C7D0}">
      <formula1>MenGoalkeepers</formula1>
    </dataValidation>
    <dataValidation type="list" allowBlank="1" showInputMessage="1" showErrorMessage="1" sqref="C78:C98 D78:D98 E78:E98" xr:uid="{AE20CDEB-ABE5-4B7C-987B-7B21972A7113}">
      <formula1>WomenGoalkeepers</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C850-0D45-4AE9-9C01-4AFBA836D195}">
  <sheetPr>
    <tabColor rgb="FF7F6000"/>
  </sheetPr>
  <dimension ref="A1"/>
  <sheetViews>
    <sheetView workbookViewId="0"/>
  </sheetViews>
  <sheetFormatPr defaultRowHeight="14.4"/>
  <sheetData>
    <row r="1" spans="1:1" ht="23.4">
      <c r="A1" s="156" t="s">
        <v>58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C61CE-980C-4D47-81A9-3B718B2EBAB9}">
  <sheetPr>
    <tabColor rgb="FFD9C27A"/>
  </sheetPr>
  <dimension ref="A1:I74"/>
  <sheetViews>
    <sheetView workbookViewId="0">
      <selection activeCell="F11" sqref="F11"/>
    </sheetView>
  </sheetViews>
  <sheetFormatPr defaultRowHeight="14.4"/>
  <cols>
    <col min="1" max="1" width="13.33203125" bestFit="1" customWidth="1"/>
    <col min="2" max="2" width="23.88671875" bestFit="1" customWidth="1"/>
    <col min="3" max="3" width="20.6640625" bestFit="1" customWidth="1"/>
    <col min="4" max="4" width="28.33203125" bestFit="1" customWidth="1"/>
    <col min="5" max="5" width="15.44140625" bestFit="1" customWidth="1"/>
    <col min="6" max="6" width="12.6640625" bestFit="1" customWidth="1"/>
    <col min="7" max="7" width="12" bestFit="1" customWidth="1"/>
    <col min="8" max="8" width="7.6640625" bestFit="1" customWidth="1"/>
    <col min="9" max="9" width="8.6640625" bestFit="1" customWidth="1"/>
  </cols>
  <sheetData>
    <row r="1" spans="1:9" ht="18">
      <c r="A1" s="262" t="s">
        <v>1523</v>
      </c>
    </row>
    <row r="2" spans="1:9">
      <c r="A2" s="805" t="s">
        <v>1524</v>
      </c>
    </row>
    <row r="3" spans="1:9">
      <c r="A3" s="235" t="s">
        <v>1525</v>
      </c>
      <c r="B3" s="235" t="s">
        <v>1002</v>
      </c>
      <c r="C3" s="235" t="s">
        <v>1003</v>
      </c>
      <c r="D3" s="235" t="s">
        <v>1009</v>
      </c>
      <c r="E3" s="235" t="s">
        <v>1526</v>
      </c>
      <c r="F3" s="235" t="s">
        <v>1527</v>
      </c>
      <c r="G3" s="235" t="s">
        <v>1007</v>
      </c>
      <c r="H3" s="235" t="s">
        <v>525</v>
      </c>
      <c r="I3" s="235" t="s">
        <v>526</v>
      </c>
    </row>
    <row r="4" spans="1:9">
      <c r="A4" s="184" t="s">
        <v>1528</v>
      </c>
      <c r="B4" s="184" t="s">
        <v>1166</v>
      </c>
      <c r="C4" s="184" t="s">
        <v>1529</v>
      </c>
      <c r="D4" s="184" t="s">
        <v>874</v>
      </c>
      <c r="E4" s="184" t="s">
        <v>1530</v>
      </c>
      <c r="F4" s="616" cm="1">
        <f t="array" ref="F4">(SUMPRODUCT(('Games Schedule'!$X$5:$X$31=$D4)*IFERROR('Games Schedule'!$H$5:$H$31-'Games Schedule'!$D$5:$D$31,0))+SUMPRODUCT(('Games Schedule'!$Y$5:$Y$31=$D4)*IFERROR('Games Schedule'!$H$5:$H$31-'Games Schedule'!$D$5:$D$31,0))+SUMPRODUCT(('Games Schedule'!$Z$5:$Z$31=$D4)*IFERROR('Games Schedule'!$H$5:$H$31-'Games Schedule'!$D$5:$D$31,0)))*24</f>
      </c>
      <c r="G4" s="184"/>
      <c r="H4" s="184" t="s">
        <v>1531</v>
      </c>
      <c r="I4" s="184" t="s">
        <v>1532</v>
      </c>
    </row>
    <row r="5" spans="1:9">
      <c r="A5" s="184" t="s">
        <v>1533</v>
      </c>
      <c r="B5" s="184" t="s">
        <v>1120</v>
      </c>
      <c r="C5" s="184" t="s">
        <v>1534</v>
      </c>
      <c r="D5" s="184" t="s">
        <v>875</v>
      </c>
      <c r="E5" s="184" t="s">
        <v>1535</v>
      </c>
      <c r="F5" s="616" cm="1">
        <f t="array" ref="F5">(SUMPRODUCT(('Games Schedule'!$X$5:$X$31=$D5)*IFERROR('Games Schedule'!$H$5:$H$31-'Games Schedule'!$D$5:$D$31,0))+SUMPRODUCT(('Games Schedule'!$Y$5:$Y$31=$D5)*IFERROR('Games Schedule'!$H$5:$H$31-'Games Schedule'!$D$5:$D$31,0))+SUMPRODUCT(('Games Schedule'!$Z$5:$Z$31=$D5)*IFERROR('Games Schedule'!$H$5:$H$31-'Games Schedule'!$D$5:$D$31,0)))*24</f>
      </c>
      <c r="G5" s="184"/>
      <c r="H5" s="184"/>
      <c r="I5" s="184"/>
    </row>
    <row r="6" spans="1:9">
      <c r="A6" s="184" t="s">
        <v>1536</v>
      </c>
      <c r="B6" s="184" t="s">
        <v>1537</v>
      </c>
      <c r="C6" s="184" t="s">
        <v>1177</v>
      </c>
      <c r="D6" s="184" t="s">
        <v>828</v>
      </c>
      <c r="E6" s="184" t="s">
        <v>1535</v>
      </c>
      <c r="F6" s="616" cm="1">
        <f t="array" ref="F6">(SUMPRODUCT(('Games Schedule'!$X$5:$X$31=$D6)*IFERROR('Games Schedule'!$H$5:$H$31-'Games Schedule'!$D$5:$D$31,0))+SUMPRODUCT(('Games Schedule'!$Y$5:$Y$31=$D6)*IFERROR('Games Schedule'!$H$5:$H$31-'Games Schedule'!$D$5:$D$31,0))+SUMPRODUCT(('Games Schedule'!$Z$5:$Z$31=$D6)*IFERROR('Games Schedule'!$H$5:$H$31-'Games Schedule'!$D$5:$D$31,0)))*24</f>
      </c>
      <c r="G6" s="184" t="s">
        <v>1538</v>
      </c>
      <c r="H6" s="184"/>
      <c r="I6" s="184"/>
    </row>
    <row r="7" spans="1:9">
      <c r="A7" s="184" t="s">
        <v>1539</v>
      </c>
      <c r="B7" s="184" t="s">
        <v>1318</v>
      </c>
      <c r="C7" s="184" t="s">
        <v>1115</v>
      </c>
      <c r="D7" s="184" t="s">
        <v>829</v>
      </c>
      <c r="E7" s="184" t="s">
        <v>1530</v>
      </c>
      <c r="F7" s="616" cm="1">
        <f t="array" ref="F7">(SUMPRODUCT(('Games Schedule'!$X$5:$X$31=$D7)*IFERROR('Games Schedule'!$H$5:$H$31-'Games Schedule'!$D$5:$D$31,0))+SUMPRODUCT(('Games Schedule'!$Y$5:$Y$31=$D7)*IFERROR('Games Schedule'!$H$5:$H$31-'Games Schedule'!$D$5:$D$31,0))+SUMPRODUCT(('Games Schedule'!$Z$5:$Z$31=$D7)*IFERROR('Games Schedule'!$H$5:$H$31-'Games Schedule'!$D$5:$D$31,0)))*24</f>
      </c>
      <c r="G7" s="184"/>
      <c r="H7" s="184" t="s">
        <v>1540</v>
      </c>
      <c r="I7" s="184"/>
    </row>
    <row r="8" spans="1:9">
      <c r="A8" s="184" t="s">
        <v>1541</v>
      </c>
      <c r="B8" s="184" t="s">
        <v>1132</v>
      </c>
      <c r="C8" s="184" t="s">
        <v>1337</v>
      </c>
      <c r="D8" s="184" t="s">
        <v>832</v>
      </c>
      <c r="E8" s="184" t="s">
        <v>1535</v>
      </c>
      <c r="F8" s="616" cm="1">
        <f t="array" ref="F8">(SUMPRODUCT(('Games Schedule'!$X$5:$X$31=$D8)*IFERROR('Games Schedule'!$H$5:$H$31-'Games Schedule'!$D$5:$D$31,0))+SUMPRODUCT(('Games Schedule'!$Y$5:$Y$31=$D8)*IFERROR('Games Schedule'!$H$5:$H$31-'Games Schedule'!$D$5:$D$31,0))+SUMPRODUCT(('Games Schedule'!$Z$5:$Z$31=$D8)*IFERROR('Games Schedule'!$H$5:$H$31-'Games Schedule'!$D$5:$D$31,0)))*24</f>
      </c>
      <c r="G8" s="184"/>
      <c r="H8" s="184"/>
      <c r="I8" s="184" t="s">
        <v>1542</v>
      </c>
    </row>
    <row r="9" spans="1:9">
      <c r="A9" s="184" t="s">
        <v>1543</v>
      </c>
      <c r="B9" s="184" t="s">
        <v>1211</v>
      </c>
      <c r="C9" s="184" t="s">
        <v>1028</v>
      </c>
      <c r="D9" s="184" t="s">
        <v>833</v>
      </c>
      <c r="E9" s="184" t="s">
        <v>1535</v>
      </c>
      <c r="F9" s="616" cm="1">
        <f t="array" ref="F9">(SUMPRODUCT(('Games Schedule'!$X$5:$X$31=$D9)*IFERROR('Games Schedule'!$H$5:$H$31-'Games Schedule'!$D$5:$D$31,0))+SUMPRODUCT(('Games Schedule'!$Y$5:$Y$31=$D9)*IFERROR('Games Schedule'!$H$5:$H$31-'Games Schedule'!$D$5:$D$31,0))+SUMPRODUCT(('Games Schedule'!$Z$5:$Z$31=$D9)*IFERROR('Games Schedule'!$H$5:$H$31-'Games Schedule'!$D$5:$D$31,0)))*24</f>
      </c>
      <c r="G9" s="184"/>
      <c r="H9" s="184"/>
      <c r="I9" s="184"/>
    </row>
    <row r="10" spans="1:9">
      <c r="A10" s="184" t="s">
        <v>1544</v>
      </c>
      <c r="B10" s="184" t="s">
        <v>1545</v>
      </c>
      <c r="C10" s="184" t="s">
        <v>1121</v>
      </c>
      <c r="D10" s="184" t="s">
        <v>836</v>
      </c>
      <c r="E10" s="184" t="s">
        <v>1535</v>
      </c>
      <c r="F10" s="616" cm="1">
        <f t="array" ref="F10">(SUMPRODUCT(('Games Schedule'!$X$5:$X$31=$D10)*IFERROR('Games Schedule'!$H$5:$H$31-'Games Schedule'!$D$5:$D$31,0))+SUMPRODUCT(('Games Schedule'!$Y$5:$Y$31=$D10)*IFERROR('Games Schedule'!$H$5:$H$31-'Games Schedule'!$D$5:$D$31,0))+SUMPRODUCT(('Games Schedule'!$Z$5:$Z$31=$D10)*IFERROR('Games Schedule'!$H$5:$H$31-'Games Schedule'!$D$5:$D$31,0)))*24</f>
      </c>
      <c r="G10" s="184"/>
      <c r="H10" s="184" t="s">
        <v>1546</v>
      </c>
      <c r="I10" s="184"/>
    </row>
    <row r="11" spans="1:9">
      <c r="A11" s="184" t="s">
        <v>1547</v>
      </c>
      <c r="B11" s="184" t="s">
        <v>1186</v>
      </c>
      <c r="C11" s="184" t="s">
        <v>1183</v>
      </c>
      <c r="D11" s="184" t="s">
        <v>837</v>
      </c>
      <c r="E11" s="184" t="s">
        <v>1535</v>
      </c>
      <c r="F11" s="616" cm="1">
        <f t="array" ref="F11">(SUMPRODUCT(('Games Schedule'!$X$5:$X$31=$D11)*IFERROR('Games Schedule'!$H$5:$H$31-'Games Schedule'!$D$5:$D$31,0))+SUMPRODUCT(('Games Schedule'!$Y$5:$Y$31=$D11)*IFERROR('Games Schedule'!$H$5:$H$31-'Games Schedule'!$D$5:$D$31,0))+SUMPRODUCT(('Games Schedule'!$Z$5:$Z$31=$D11)*IFERROR('Games Schedule'!$H$5:$H$31-'Games Schedule'!$D$5:$D$31,0)))*24</f>
      </c>
      <c r="G11" s="184"/>
      <c r="H11" s="184"/>
      <c r="I11" s="184"/>
    </row>
    <row r="12" spans="1:9">
      <c r="A12" s="184" t="s">
        <v>1548</v>
      </c>
      <c r="B12" s="184" t="s">
        <v>1061</v>
      </c>
      <c r="C12" s="184" t="s">
        <v>1187</v>
      </c>
      <c r="D12" s="184" t="s">
        <v>840</v>
      </c>
      <c r="E12" s="184" t="s">
        <v>1530</v>
      </c>
      <c r="F12" s="616" cm="1">
        <f t="array" ref="F12">(SUMPRODUCT(('Games Schedule'!$X$5:$X$31=$D12)*IFERROR('Games Schedule'!$H$5:$H$31-'Games Schedule'!$D$5:$D$31,0))+SUMPRODUCT(('Games Schedule'!$Y$5:$Y$31=$D12)*IFERROR('Games Schedule'!$H$5:$H$31-'Games Schedule'!$D$5:$D$31,0))+SUMPRODUCT(('Games Schedule'!$Z$5:$Z$31=$D12)*IFERROR('Games Schedule'!$H$5:$H$31-'Games Schedule'!$D$5:$D$31,0)))*24</f>
      </c>
      <c r="G12" s="184" t="s">
        <v>1549</v>
      </c>
      <c r="H12" s="184"/>
      <c r="I12" s="184" t="s">
        <v>1550</v>
      </c>
    </row>
    <row r="13" spans="1:9">
      <c r="A13" s="184" t="s">
        <v>1551</v>
      </c>
      <c r="B13" s="184" t="s">
        <v>1224</v>
      </c>
      <c r="C13" s="184" t="s">
        <v>1552</v>
      </c>
      <c r="D13" s="184" t="s">
        <v>841</v>
      </c>
      <c r="E13" s="184" t="s">
        <v>1535</v>
      </c>
      <c r="F13" s="616" cm="1">
        <f t="array" ref="F13">(SUMPRODUCT(('Games Schedule'!$X$5:$X$31=$D13)*IFERROR('Games Schedule'!$H$5:$H$31-'Games Schedule'!$D$5:$D$31,0))+SUMPRODUCT(('Games Schedule'!$Y$5:$Y$31=$D13)*IFERROR('Games Schedule'!$H$5:$H$31-'Games Schedule'!$D$5:$D$31,0))+SUMPRODUCT(('Games Schedule'!$Z$5:$Z$31=$D13)*IFERROR('Games Schedule'!$H$5:$H$31-'Games Schedule'!$D$5:$D$31,0)))*24</f>
      </c>
      <c r="G13" s="184"/>
      <c r="H13" s="184" t="s">
        <v>1553</v>
      </c>
      <c r="I13" s="184"/>
    </row>
    <row r="14" spans="1:9">
      <c r="A14" s="184" t="s">
        <v>1554</v>
      </c>
      <c r="B14" s="184" t="s">
        <v>1304</v>
      </c>
      <c r="C14" s="184" t="s">
        <v>1114</v>
      </c>
      <c r="D14" s="184" t="s">
        <v>844</v>
      </c>
      <c r="E14" s="184" t="s">
        <v>1530</v>
      </c>
      <c r="F14" s="616" cm="1">
        <f t="array" ref="F14">(SUMPRODUCT(('Games Schedule'!$X$5:$X$31=$D14)*IFERROR('Games Schedule'!$H$5:$H$31-'Games Schedule'!$D$5:$D$31,0))+SUMPRODUCT(('Games Schedule'!$Y$5:$Y$31=$D14)*IFERROR('Games Schedule'!$H$5:$H$31-'Games Schedule'!$D$5:$D$31,0))+SUMPRODUCT(('Games Schedule'!$Z$5:$Z$31=$D14)*IFERROR('Games Schedule'!$H$5:$H$31-'Games Schedule'!$D$5:$D$31,0)))*24</f>
      </c>
      <c r="G14" s="184"/>
      <c r="H14" s="184"/>
      <c r="I14" s="184"/>
    </row>
    <row r="15" spans="1:9">
      <c r="A15" s="184" t="s">
        <v>1555</v>
      </c>
      <c r="B15" s="184" t="s">
        <v>1233</v>
      </c>
      <c r="C15" s="184" t="s">
        <v>1259</v>
      </c>
      <c r="D15" s="184" t="s">
        <v>845</v>
      </c>
      <c r="E15" s="184" t="s">
        <v>1535</v>
      </c>
      <c r="F15" s="616" cm="1">
        <f t="array" ref="F15">(SUMPRODUCT(('Games Schedule'!$X$5:$X$31=$D15)*IFERROR('Games Schedule'!$H$5:$H$31-'Games Schedule'!$D$5:$D$31,0))+SUMPRODUCT(('Games Schedule'!$Y$5:$Y$31=$D15)*IFERROR('Games Schedule'!$H$5:$H$31-'Games Schedule'!$D$5:$D$31,0))+SUMPRODUCT(('Games Schedule'!$Z$5:$Z$31=$D15)*IFERROR('Games Schedule'!$H$5:$H$31-'Games Schedule'!$D$5:$D$31,0)))*24</f>
      </c>
      <c r="G15" s="184"/>
      <c r="H15" s="184"/>
      <c r="I15" s="184"/>
    </row>
    <row r="16" spans="1:9">
      <c r="A16" s="184" t="s">
        <v>1556</v>
      </c>
      <c r="B16" s="184" t="s">
        <v>1214</v>
      </c>
      <c r="C16" s="184" t="s">
        <v>1185</v>
      </c>
      <c r="D16" s="184" t="s">
        <v>847</v>
      </c>
      <c r="E16" s="184" t="s">
        <v>1535</v>
      </c>
      <c r="F16" s="616" cm="1">
        <f t="array" ref="F16">(SUMPRODUCT(('Games Schedule'!$X$5:$X$31=$D16)*IFERROR('Games Schedule'!$H$5:$H$31-'Games Schedule'!$D$5:$D$31,0))+SUMPRODUCT(('Games Schedule'!$Y$5:$Y$31=$D16)*IFERROR('Games Schedule'!$H$5:$H$31-'Games Schedule'!$D$5:$D$31,0))+SUMPRODUCT(('Games Schedule'!$Z$5:$Z$31=$D16)*IFERROR('Games Schedule'!$H$5:$H$31-'Games Schedule'!$D$5:$D$31,0)))*24</f>
      </c>
      <c r="G16" s="184"/>
      <c r="H16" s="184" t="s">
        <v>1557</v>
      </c>
      <c r="I16" s="184" t="s">
        <v>1558</v>
      </c>
    </row>
    <row r="17" spans="1:9">
      <c r="A17" s="184" t="s">
        <v>1559</v>
      </c>
      <c r="B17" s="184" t="s">
        <v>1560</v>
      </c>
      <c r="C17" s="184" t="s">
        <v>1087</v>
      </c>
      <c r="D17" s="184" t="s">
        <v>848</v>
      </c>
      <c r="E17" s="184" t="s">
        <v>1535</v>
      </c>
      <c r="F17" s="616" cm="1">
        <f t="array" ref="F17">(SUMPRODUCT(('Games Schedule'!$X$5:$X$31=$D17)*IFERROR('Games Schedule'!$H$5:$H$31-'Games Schedule'!$D$5:$D$31,0))+SUMPRODUCT(('Games Schedule'!$Y$5:$Y$31=$D17)*IFERROR('Games Schedule'!$H$5:$H$31-'Games Schedule'!$D$5:$D$31,0))+SUMPRODUCT(('Games Schedule'!$Z$5:$Z$31=$D17)*IFERROR('Games Schedule'!$H$5:$H$31-'Games Schedule'!$D$5:$D$31,0)))*24</f>
      </c>
      <c r="G17" s="184"/>
      <c r="H17" s="184"/>
      <c r="I17" s="184"/>
    </row>
    <row r="18" spans="1:9">
      <c r="A18" s="184" t="s">
        <v>1561</v>
      </c>
      <c r="B18" s="184" t="s">
        <v>1562</v>
      </c>
      <c r="C18" s="184" t="s">
        <v>1208</v>
      </c>
      <c r="D18" s="184" t="s">
        <v>850</v>
      </c>
      <c r="E18" s="184" t="s">
        <v>1530</v>
      </c>
      <c r="F18" s="616" cm="1">
        <f t="array" ref="F18">(SUMPRODUCT(('Games Schedule'!$X$5:$X$31=$D18)*IFERROR('Games Schedule'!$H$5:$H$31-'Games Schedule'!$D$5:$D$31,0))+SUMPRODUCT(('Games Schedule'!$Y$5:$Y$31=$D18)*IFERROR('Games Schedule'!$H$5:$H$31-'Games Schedule'!$D$5:$D$31,0))+SUMPRODUCT(('Games Schedule'!$Z$5:$Z$31=$D18)*IFERROR('Games Schedule'!$H$5:$H$31-'Games Schedule'!$D$5:$D$31,0)))*24</f>
      </c>
      <c r="G18" s="184" t="s">
        <v>1563</v>
      </c>
      <c r="H18" s="184"/>
      <c r="I18" s="184"/>
    </row>
    <row r="19" spans="1:9">
      <c r="A19" s="184" t="s">
        <v>1564</v>
      </c>
      <c r="B19" s="184" t="s">
        <v>1236</v>
      </c>
      <c r="C19" s="184" t="s">
        <v>1306</v>
      </c>
      <c r="D19" s="184" t="s">
        <v>851</v>
      </c>
      <c r="E19" s="184" t="s">
        <v>1535</v>
      </c>
      <c r="F19" s="616" cm="1">
        <f t="array" ref="F19">(SUMPRODUCT(('Games Schedule'!$X$5:$X$31=$D19)*IFERROR('Games Schedule'!$H$5:$H$31-'Games Schedule'!$D$5:$D$31,0))+SUMPRODUCT(('Games Schedule'!$Y$5:$Y$31=$D19)*IFERROR('Games Schedule'!$H$5:$H$31-'Games Schedule'!$D$5:$D$31,0))+SUMPRODUCT(('Games Schedule'!$Z$5:$Z$31=$D19)*IFERROR('Games Schedule'!$H$5:$H$31-'Games Schedule'!$D$5:$D$31,0)))*24</f>
      </c>
      <c r="G19" s="184"/>
      <c r="H19" s="184" t="s">
        <v>1565</v>
      </c>
      <c r="I19" s="184"/>
    </row>
    <row r="20" spans="1:9">
      <c r="A20" s="184" t="s">
        <v>1566</v>
      </c>
      <c r="B20" s="184" t="s">
        <v>1207</v>
      </c>
      <c r="C20" s="184" t="s">
        <v>1116</v>
      </c>
      <c r="D20" s="184" t="s">
        <v>853</v>
      </c>
      <c r="E20" s="184" t="s">
        <v>1535</v>
      </c>
      <c r="F20" s="616" cm="1">
        <f t="array" ref="F20">(SUMPRODUCT(('Games Schedule'!$X$5:$X$31=$D20)*IFERROR('Games Schedule'!$H$5:$H$31-'Games Schedule'!$D$5:$D$31,0))+SUMPRODUCT(('Games Schedule'!$Y$5:$Y$31=$D20)*IFERROR('Games Schedule'!$H$5:$H$31-'Games Schedule'!$D$5:$D$31,0))+SUMPRODUCT(('Games Schedule'!$Z$5:$Z$31=$D20)*IFERROR('Games Schedule'!$H$5:$H$31-'Games Schedule'!$D$5:$D$31,0)))*24</f>
      </c>
      <c r="G20" s="184"/>
      <c r="H20" s="184"/>
      <c r="I20" s="184" t="s">
        <v>706</v>
      </c>
    </row>
    <row r="21" spans="1:9">
      <c r="A21" s="184" t="s">
        <v>1567</v>
      </c>
      <c r="B21" s="184" t="s">
        <v>1138</v>
      </c>
      <c r="C21" s="184" t="s">
        <v>1052</v>
      </c>
      <c r="D21" s="184" t="s">
        <v>854</v>
      </c>
      <c r="E21" s="184" t="s">
        <v>1530</v>
      </c>
      <c r="F21" s="616" cm="1">
        <f t="array" ref="F21">(SUMPRODUCT(('Games Schedule'!$X$5:$X$31=$D21)*IFERROR('Games Schedule'!$H$5:$H$31-'Games Schedule'!$D$5:$D$31,0))+SUMPRODUCT(('Games Schedule'!$Y$5:$Y$31=$D21)*IFERROR('Games Schedule'!$H$5:$H$31-'Games Schedule'!$D$5:$D$31,0))+SUMPRODUCT(('Games Schedule'!$Z$5:$Z$31=$D21)*IFERROR('Games Schedule'!$H$5:$H$31-'Games Schedule'!$D$5:$D$31,0)))*24</f>
      </c>
      <c r="G21" s="184" t="s">
        <v>1563</v>
      </c>
      <c r="H21" s="184"/>
      <c r="I21" s="184"/>
    </row>
    <row r="22" spans="1:9">
      <c r="A22" s="184" t="s">
        <v>1568</v>
      </c>
      <c r="B22" s="184" t="s">
        <v>1120</v>
      </c>
      <c r="C22" s="184" t="s">
        <v>1360</v>
      </c>
      <c r="D22" s="184" t="s">
        <v>856</v>
      </c>
      <c r="E22" s="184" t="s">
        <v>1535</v>
      </c>
      <c r="F22" s="616" cm="1">
        <f t="array" ref="F22">(SUMPRODUCT(('Games Schedule'!$X$5:$X$31=$D22)*IFERROR('Games Schedule'!$H$5:$H$31-'Games Schedule'!$D$5:$D$31,0))+SUMPRODUCT(('Games Schedule'!$Y$5:$Y$31=$D22)*IFERROR('Games Schedule'!$H$5:$H$31-'Games Schedule'!$D$5:$D$31,0))+SUMPRODUCT(('Games Schedule'!$Z$5:$Z$31=$D22)*IFERROR('Games Schedule'!$H$5:$H$31-'Games Schedule'!$D$5:$D$31,0)))*24</f>
      </c>
      <c r="G22" s="184"/>
      <c r="H22" s="184" t="s">
        <v>1569</v>
      </c>
      <c r="I22" s="184"/>
    </row>
    <row r="23" spans="1:9">
      <c r="A23" s="184" t="s">
        <v>1570</v>
      </c>
      <c r="B23" s="184" t="s">
        <v>1024</v>
      </c>
      <c r="C23" s="184" t="s">
        <v>1078</v>
      </c>
      <c r="D23" s="184" t="s">
        <v>857</v>
      </c>
      <c r="E23" s="184" t="s">
        <v>1535</v>
      </c>
      <c r="F23" s="616" cm="1">
        <f t="array" ref="F23">(SUMPRODUCT(('Games Schedule'!$X$5:$X$31=$D23)*IFERROR('Games Schedule'!$H$5:$H$31-'Games Schedule'!$D$5:$D$31,0))+SUMPRODUCT(('Games Schedule'!$Y$5:$Y$31=$D23)*IFERROR('Games Schedule'!$H$5:$H$31-'Games Schedule'!$D$5:$D$31,0))+SUMPRODUCT(('Games Schedule'!$Z$5:$Z$31=$D23)*IFERROR('Games Schedule'!$H$5:$H$31-'Games Schedule'!$D$5:$D$31,0)))*24</f>
      </c>
      <c r="G23" s="184" t="s">
        <v>1538</v>
      </c>
      <c r="H23" s="184"/>
      <c r="I23" s="184"/>
    </row>
    <row r="24" spans="1:9">
      <c r="A24" s="184" t="s">
        <v>1571</v>
      </c>
      <c r="B24" s="184" t="s">
        <v>1284</v>
      </c>
      <c r="C24" s="184" t="s">
        <v>1572</v>
      </c>
      <c r="D24" s="184" t="s">
        <v>859</v>
      </c>
      <c r="E24" s="184" t="s">
        <v>1530</v>
      </c>
      <c r="F24" s="616" cm="1">
        <f t="array" ref="F24">(SUMPRODUCT(('Games Schedule'!$X$5:$X$31=$D24)*IFERROR('Games Schedule'!$H$5:$H$31-'Games Schedule'!$D$5:$D$31,0))+SUMPRODUCT(('Games Schedule'!$Y$5:$Y$31=$D24)*IFERROR('Games Schedule'!$H$5:$H$31-'Games Schedule'!$D$5:$D$31,0))+SUMPRODUCT(('Games Schedule'!$Z$5:$Z$31=$D24)*IFERROR('Games Schedule'!$H$5:$H$31-'Games Schedule'!$D$5:$D$31,0)))*24</f>
      </c>
      <c r="G24" s="184"/>
      <c r="H24" s="184"/>
      <c r="I24" s="184" t="s">
        <v>707</v>
      </c>
    </row>
    <row r="25" spans="1:9">
      <c r="A25" s="184" t="s">
        <v>1573</v>
      </c>
      <c r="B25" s="184" t="s">
        <v>1308</v>
      </c>
      <c r="C25" s="184" t="s">
        <v>1076</v>
      </c>
      <c r="D25" s="184" t="s">
        <v>860</v>
      </c>
      <c r="E25" s="184" t="s">
        <v>1530</v>
      </c>
      <c r="F25" s="616" cm="1">
        <f t="array" ref="F25">(SUMPRODUCT(('Games Schedule'!$X$5:$X$31=$D25)*IFERROR('Games Schedule'!$H$5:$H$31-'Games Schedule'!$D$5:$D$31,0))+SUMPRODUCT(('Games Schedule'!$Y$5:$Y$31=$D25)*IFERROR('Games Schedule'!$H$5:$H$31-'Games Schedule'!$D$5:$D$31,0))+SUMPRODUCT(('Games Schedule'!$Z$5:$Z$31=$D25)*IFERROR('Games Schedule'!$H$5:$H$31-'Games Schedule'!$D$5:$D$31,0)))*24</f>
      </c>
      <c r="G25" s="184" t="s">
        <v>1549</v>
      </c>
      <c r="H25" s="184" t="s">
        <v>1574</v>
      </c>
      <c r="I25" s="184"/>
    </row>
    <row r="26" spans="1:9">
      <c r="A26" s="184" t="s">
        <v>1575</v>
      </c>
      <c r="B26" s="184" t="s">
        <v>1334</v>
      </c>
      <c r="C26" s="184" t="s">
        <v>1340</v>
      </c>
      <c r="D26" s="184" t="s">
        <v>862</v>
      </c>
      <c r="E26" s="184" t="s">
        <v>1530</v>
      </c>
      <c r="F26" s="616" cm="1">
        <f t="array" ref="F26">(SUMPRODUCT(('Games Schedule'!$X$5:$X$31=$D26)*IFERROR('Games Schedule'!$H$5:$H$31-'Games Schedule'!$D$5:$D$31,0))+SUMPRODUCT(('Games Schedule'!$Y$5:$Y$31=$D26)*IFERROR('Games Schedule'!$H$5:$H$31-'Games Schedule'!$D$5:$D$31,0))+SUMPRODUCT(('Games Schedule'!$Z$5:$Z$31=$D26)*IFERROR('Games Schedule'!$H$5:$H$31-'Games Schedule'!$D$5:$D$31,0)))*24</f>
      </c>
      <c r="G26" s="184"/>
      <c r="H26" s="184"/>
      <c r="I26" s="184"/>
    </row>
    <row r="27" spans="1:9">
      <c r="A27" s="184" t="s">
        <v>1576</v>
      </c>
      <c r="B27" s="184" t="s">
        <v>1124</v>
      </c>
      <c r="C27" s="184" t="s">
        <v>1035</v>
      </c>
      <c r="D27" s="184" t="s">
        <v>863</v>
      </c>
      <c r="E27" s="184" t="s">
        <v>1535</v>
      </c>
      <c r="F27" s="616" cm="1">
        <f t="array" ref="F27">(SUMPRODUCT(('Games Schedule'!$X$5:$X$31=$D27)*IFERROR('Games Schedule'!$H$5:$H$31-'Games Schedule'!$D$5:$D$31,0))+SUMPRODUCT(('Games Schedule'!$Y$5:$Y$31=$D27)*IFERROR('Games Schedule'!$H$5:$H$31-'Games Schedule'!$D$5:$D$31,0))+SUMPRODUCT(('Games Schedule'!$Z$5:$Z$31=$D27)*IFERROR('Games Schedule'!$H$5:$H$31-'Games Schedule'!$D$5:$D$31,0)))*24</f>
      </c>
      <c r="G27" s="184" t="s">
        <v>1549</v>
      </c>
      <c r="H27" s="184"/>
      <c r="I27" s="184"/>
    </row>
    <row r="28" spans="1:9">
      <c r="A28" s="184" t="s">
        <v>1577</v>
      </c>
      <c r="B28" s="184" t="s">
        <v>1108</v>
      </c>
      <c r="C28" s="184" t="s">
        <v>1158</v>
      </c>
      <c r="D28" s="184" t="s">
        <v>865</v>
      </c>
      <c r="E28" s="184" t="s">
        <v>1530</v>
      </c>
      <c r="F28" s="616" cm="1">
        <f t="array" ref="F28">(SUMPRODUCT(('Games Schedule'!$X$5:$X$31=$D28)*IFERROR('Games Schedule'!$H$5:$H$31-'Games Schedule'!$D$5:$D$31,0))+SUMPRODUCT(('Games Schedule'!$Y$5:$Y$31=$D28)*IFERROR('Games Schedule'!$H$5:$H$31-'Games Schedule'!$D$5:$D$31,0))+SUMPRODUCT(('Games Schedule'!$Z$5:$Z$31=$D28)*IFERROR('Games Schedule'!$H$5:$H$31-'Games Schedule'!$D$5:$D$31,0)))*24</f>
      </c>
      <c r="G28" s="184" t="s">
        <v>1549</v>
      </c>
      <c r="H28" s="184" t="s">
        <v>1578</v>
      </c>
      <c r="I28" s="184" t="s">
        <v>711</v>
      </c>
    </row>
    <row r="29" spans="1:9">
      <c r="A29" s="184" t="s">
        <v>1579</v>
      </c>
      <c r="B29" s="184" t="s">
        <v>1277</v>
      </c>
      <c r="C29" s="184" t="s">
        <v>1290</v>
      </c>
      <c r="D29" s="184" t="s">
        <v>866</v>
      </c>
      <c r="E29" s="184" t="s">
        <v>1530</v>
      </c>
      <c r="F29" s="616" cm="1">
        <f t="array" ref="F29">(SUMPRODUCT(('Games Schedule'!$X$5:$X$31=$D29)*IFERROR('Games Schedule'!$H$5:$H$31-'Games Schedule'!$D$5:$D$31,0))+SUMPRODUCT(('Games Schedule'!$Y$5:$Y$31=$D29)*IFERROR('Games Schedule'!$H$5:$H$31-'Games Schedule'!$D$5:$D$31,0))+SUMPRODUCT(('Games Schedule'!$Z$5:$Z$31=$D29)*IFERROR('Games Schedule'!$H$5:$H$31-'Games Schedule'!$D$5:$D$31,0)))*24</f>
      </c>
      <c r="G29" s="184" t="s">
        <v>1538</v>
      </c>
      <c r="H29" s="184"/>
      <c r="I29" s="184"/>
    </row>
    <row r="30" spans="1:9">
      <c r="A30" s="184" t="s">
        <v>1580</v>
      </c>
      <c r="B30" s="184" t="s">
        <v>1276</v>
      </c>
      <c r="C30" s="184" t="s">
        <v>1127</v>
      </c>
      <c r="D30" s="184" t="s">
        <v>868</v>
      </c>
      <c r="E30" s="184" t="s">
        <v>1530</v>
      </c>
      <c r="F30" s="616" cm="1">
        <f t="array" ref="F30">(SUMPRODUCT(('Games Schedule'!$X$5:$X$31=$D30)*IFERROR('Games Schedule'!$H$5:$H$31-'Games Schedule'!$D$5:$D$31,0))+SUMPRODUCT(('Games Schedule'!$Y$5:$Y$31=$D30)*IFERROR('Games Schedule'!$H$5:$H$31-'Games Schedule'!$D$5:$D$31,0))+SUMPRODUCT(('Games Schedule'!$Z$5:$Z$31=$D30)*IFERROR('Games Schedule'!$H$5:$H$31-'Games Schedule'!$D$5:$D$31,0)))*24</f>
      </c>
      <c r="G30" s="184" t="s">
        <v>1538</v>
      </c>
      <c r="H30" s="184"/>
      <c r="I30" s="184"/>
    </row>
    <row r="31" spans="1:9">
      <c r="A31" s="184" t="s">
        <v>1581</v>
      </c>
      <c r="B31" s="184" t="s">
        <v>1102</v>
      </c>
      <c r="C31" s="184" t="s">
        <v>1047</v>
      </c>
      <c r="D31" s="184" t="s">
        <v>869</v>
      </c>
      <c r="E31" s="184" t="s">
        <v>1530</v>
      </c>
      <c r="F31" s="616" cm="1">
        <f t="array" ref="F31">(SUMPRODUCT(('Games Schedule'!$X$5:$X$31=$D31)*IFERROR('Games Schedule'!$H$5:$H$31-'Games Schedule'!$D$5:$D$31,0))+SUMPRODUCT(('Games Schedule'!$Y$5:$Y$31=$D31)*IFERROR('Games Schedule'!$H$5:$H$31-'Games Schedule'!$D$5:$D$31,0))+SUMPRODUCT(('Games Schedule'!$Z$5:$Z$31=$D31)*IFERROR('Games Schedule'!$H$5:$H$31-'Games Schedule'!$D$5:$D$31,0)))*24</f>
      </c>
      <c r="G31" s="184" t="s">
        <v>1549</v>
      </c>
      <c r="H31" s="184" t="s">
        <v>1582</v>
      </c>
      <c r="I31" s="184"/>
    </row>
    <row r="32" spans="1:9">
      <c r="A32" s="184" t="s">
        <v>1583</v>
      </c>
      <c r="B32" s="184" t="s">
        <v>1354</v>
      </c>
      <c r="C32" s="184" t="s">
        <v>1327</v>
      </c>
      <c r="D32" s="184" t="s">
        <v>871</v>
      </c>
      <c r="E32" s="184" t="s">
        <v>1530</v>
      </c>
      <c r="F32" s="616" cm="1">
        <f t="array" ref="F32">(SUMPRODUCT(('Games Schedule'!$X$5:$X$31=$D32)*IFERROR('Games Schedule'!$H$5:$H$31-'Games Schedule'!$D$5:$D$31,0))+SUMPRODUCT(('Games Schedule'!$Y$5:$Y$31=$D32)*IFERROR('Games Schedule'!$H$5:$H$31-'Games Schedule'!$D$5:$D$31,0))+SUMPRODUCT(('Games Schedule'!$Z$5:$Z$31=$D32)*IFERROR('Games Schedule'!$H$5:$H$31-'Games Schedule'!$D$5:$D$31,0)))*24</f>
      </c>
      <c r="G32" s="184"/>
      <c r="H32" s="184"/>
      <c r="I32" s="184" t="s">
        <v>712</v>
      </c>
    </row>
    <row r="33" spans="1:9">
      <c r="A33" s="184" t="s">
        <v>1584</v>
      </c>
      <c r="B33" s="184" t="s">
        <v>1326</v>
      </c>
      <c r="C33" s="184" t="s">
        <v>1071</v>
      </c>
      <c r="D33" s="184" t="s">
        <v>872</v>
      </c>
      <c r="E33" s="184" t="s">
        <v>1535</v>
      </c>
      <c r="F33" s="616" cm="1">
        <f t="array" ref="F33">(SUMPRODUCT(('Games Schedule'!$X$5:$X$31=$D33)*IFERROR('Games Schedule'!$H$5:$H$31-'Games Schedule'!$D$5:$D$31,0))+SUMPRODUCT(('Games Schedule'!$Y$5:$Y$31=$D33)*IFERROR('Games Schedule'!$H$5:$H$31-'Games Schedule'!$D$5:$D$31,0))+SUMPRODUCT(('Games Schedule'!$Z$5:$Z$31=$D33)*IFERROR('Games Schedule'!$H$5:$H$31-'Games Schedule'!$D$5:$D$31,0)))*24</f>
      </c>
      <c r="G33" s="184"/>
      <c r="H33" s="184"/>
      <c r="I33" s="184"/>
    </row>
    <row r="34" spans="1:9">
      <c r="A34" s="184" t="s">
        <v>1585</v>
      </c>
      <c r="B34" s="184" t="s">
        <v>1124</v>
      </c>
      <c r="C34" s="184" t="s">
        <v>1586</v>
      </c>
      <c r="D34" s="184" t="s">
        <v>873</v>
      </c>
      <c r="E34" s="184" t="s">
        <v>1535</v>
      </c>
      <c r="F34" s="616" cm="1">
        <f t="array" ref="F34">(SUMPRODUCT(('Games Schedule'!$X$5:$X$31=$D34)*IFERROR('Games Schedule'!$H$5:$H$31-'Games Schedule'!$D$5:$D$31,0))+SUMPRODUCT(('Games Schedule'!$Y$5:$Y$31=$D34)*IFERROR('Games Schedule'!$H$5:$H$31-'Games Schedule'!$D$5:$D$31,0))+SUMPRODUCT(('Games Schedule'!$Z$5:$Z$31=$D34)*IFERROR('Games Schedule'!$H$5:$H$31-'Games Schedule'!$D$5:$D$31,0)))*24</f>
      </c>
      <c r="G34" s="184"/>
      <c r="H34" s="184" t="s">
        <v>1587</v>
      </c>
      <c r="I34" s="184"/>
    </row>
    <row r="35" spans="1:9">
      <c r="A35" s="184" t="s">
        <v>1588</v>
      </c>
      <c r="B35" s="184" t="s">
        <v>1545</v>
      </c>
      <c r="C35" s="184" t="s">
        <v>1091</v>
      </c>
      <c r="D35" s="184" t="s">
        <v>830</v>
      </c>
      <c r="E35" s="184" t="s">
        <v>1535</v>
      </c>
      <c r="F35" s="616" cm="1">
        <f t="array" ref="F35">(SUMPRODUCT(('Games Schedule'!$X$5:$X$31=$D35)*IFERROR('Games Schedule'!$H$5:$H$31-'Games Schedule'!$D$5:$D$31,0))+SUMPRODUCT(('Games Schedule'!$Y$5:$Y$31=$D35)*IFERROR('Games Schedule'!$H$5:$H$31-'Games Schedule'!$D$5:$D$31,0))+SUMPRODUCT(('Games Schedule'!$Z$5:$Z$31=$D35)*IFERROR('Games Schedule'!$H$5:$H$31-'Games Schedule'!$D$5:$D$31,0)))*24</f>
      </c>
      <c r="G35" s="184" t="s">
        <v>1538</v>
      </c>
      <c r="H35" s="184"/>
      <c r="I35" s="184"/>
    </row>
    <row r="36" spans="1:9">
      <c r="A36" s="184" t="s">
        <v>1589</v>
      </c>
      <c r="B36" s="184" t="s">
        <v>1038</v>
      </c>
      <c r="C36" s="184" t="s">
        <v>1025</v>
      </c>
      <c r="D36" s="184" t="s">
        <v>834</v>
      </c>
      <c r="E36" s="184" t="s">
        <v>1535</v>
      </c>
      <c r="F36" s="616" cm="1">
        <f t="array" ref="F36">(SUMPRODUCT(('Games Schedule'!$X$5:$X$31=$D36)*IFERROR('Games Schedule'!$H$5:$H$31-'Games Schedule'!$D$5:$D$31,0))+SUMPRODUCT(('Games Schedule'!$Y$5:$Y$31=$D36)*IFERROR('Games Schedule'!$H$5:$H$31-'Games Schedule'!$D$5:$D$31,0))+SUMPRODUCT(('Games Schedule'!$Z$5:$Z$31=$D36)*IFERROR('Games Schedule'!$H$5:$H$31-'Games Schedule'!$D$5:$D$31,0)))*24</f>
      </c>
      <c r="G36" s="184" t="s">
        <v>1549</v>
      </c>
      <c r="H36" s="184"/>
      <c r="I36" s="184" t="s">
        <v>716</v>
      </c>
    </row>
    <row r="37" spans="1:9">
      <c r="A37" s="184" t="s">
        <v>1590</v>
      </c>
      <c r="B37" s="184" t="s">
        <v>1024</v>
      </c>
      <c r="C37" s="184" t="s">
        <v>1111</v>
      </c>
      <c r="D37" s="184" t="s">
        <v>838</v>
      </c>
      <c r="E37" s="184" t="s">
        <v>1535</v>
      </c>
      <c r="F37" s="616" cm="1">
        <f t="array" ref="F37">(SUMPRODUCT(('Games Schedule'!$X$5:$X$31=$D37)*IFERROR('Games Schedule'!$H$5:$H$31-'Games Schedule'!$D$5:$D$31,0))+SUMPRODUCT(('Games Schedule'!$Y$5:$Y$31=$D37)*IFERROR('Games Schedule'!$H$5:$H$31-'Games Schedule'!$D$5:$D$31,0))+SUMPRODUCT(('Games Schedule'!$Z$5:$Z$31=$D37)*IFERROR('Games Schedule'!$H$5:$H$31-'Games Schedule'!$D$5:$D$31,0)))*24</f>
      </c>
      <c r="G37" s="184" t="s">
        <v>1563</v>
      </c>
      <c r="H37" s="184" t="s">
        <v>1591</v>
      </c>
      <c r="I37" s="184"/>
    </row>
    <row r="38" spans="1:9">
      <c r="A38" s="184" t="s">
        <v>1592</v>
      </c>
      <c r="B38" s="184" t="s">
        <v>1593</v>
      </c>
      <c r="C38" s="184" t="s">
        <v>1594</v>
      </c>
      <c r="D38" s="184" t="s">
        <v>842</v>
      </c>
      <c r="E38" s="184" t="s">
        <v>1530</v>
      </c>
      <c r="F38" s="616" cm="1">
        <f t="array" ref="F38">(SUMPRODUCT(('Games Schedule'!$X$5:$X$31=$D38)*IFERROR('Games Schedule'!$H$5:$H$31-'Games Schedule'!$D$5:$D$31,0))+SUMPRODUCT(('Games Schedule'!$Y$5:$Y$31=$D38)*IFERROR('Games Schedule'!$H$5:$H$31-'Games Schedule'!$D$5:$D$31,0))+SUMPRODUCT(('Games Schedule'!$Z$5:$Z$31=$D38)*IFERROR('Games Schedule'!$H$5:$H$31-'Games Schedule'!$D$5:$D$31,0)))*24</f>
      </c>
      <c r="G38" s="184"/>
      <c r="H38" s="184"/>
      <c r="I38" s="184"/>
    </row>
    <row r="39" spans="1:9">
      <c r="A39" s="184" t="s">
        <v>1595</v>
      </c>
      <c r="B39" s="184" t="s">
        <v>1359</v>
      </c>
      <c r="C39" s="184" t="s">
        <v>1596</v>
      </c>
      <c r="D39" s="184" t="s">
        <v>846</v>
      </c>
      <c r="E39" s="184" t="s">
        <v>1530</v>
      </c>
      <c r="F39" s="616" cm="1">
        <f t="array" ref="F39">(SUMPRODUCT(('Games Schedule'!$X$5:$X$31=$D39)*IFERROR('Games Schedule'!$H$5:$H$31-'Games Schedule'!$D$5:$D$31,0))+SUMPRODUCT(('Games Schedule'!$Y$5:$Y$31=$D39)*IFERROR('Games Schedule'!$H$5:$H$31-'Games Schedule'!$D$5:$D$31,0))+SUMPRODUCT(('Games Schedule'!$Z$5:$Z$31=$D39)*IFERROR('Games Schedule'!$H$5:$H$31-'Games Schedule'!$D$5:$D$31,0)))*24</f>
      </c>
      <c r="G39" s="184" t="s">
        <v>1549</v>
      </c>
      <c r="H39" s="184"/>
      <c r="I39" s="184"/>
    </row>
    <row r="40" spans="1:9">
      <c r="A40" s="184" t="s">
        <v>1597</v>
      </c>
      <c r="B40" s="184" t="s">
        <v>1310</v>
      </c>
      <c r="C40" s="184" t="s">
        <v>1089</v>
      </c>
      <c r="D40" s="184" t="s">
        <v>849</v>
      </c>
      <c r="E40" s="184" t="s">
        <v>1530</v>
      </c>
      <c r="F40" s="616" cm="1">
        <f t="array" ref="F40">(SUMPRODUCT(('Games Schedule'!$X$5:$X$31=$D40)*IFERROR('Games Schedule'!$H$5:$H$31-'Games Schedule'!$D$5:$D$31,0))+SUMPRODUCT(('Games Schedule'!$Y$5:$Y$31=$D40)*IFERROR('Games Schedule'!$H$5:$H$31-'Games Schedule'!$D$5:$D$31,0))+SUMPRODUCT(('Games Schedule'!$Z$5:$Z$31=$D40)*IFERROR('Games Schedule'!$H$5:$H$31-'Games Schedule'!$D$5:$D$31,0)))*24</f>
      </c>
      <c r="G40" s="184"/>
      <c r="H40" s="184" t="s">
        <v>1598</v>
      </c>
      <c r="I40" s="184" t="s">
        <v>717</v>
      </c>
    </row>
    <row r="41" spans="1:9">
      <c r="A41" s="184" t="s">
        <v>1599</v>
      </c>
      <c r="B41" s="184" t="s">
        <v>1600</v>
      </c>
      <c r="C41" s="184" t="s">
        <v>1315</v>
      </c>
      <c r="D41" s="184" t="s">
        <v>852</v>
      </c>
      <c r="E41" s="184" t="s">
        <v>1535</v>
      </c>
      <c r="F41" s="616" cm="1">
        <f t="array" ref="F41">(SUMPRODUCT(('Games Schedule'!$X$5:$X$31=$D41)*IFERROR('Games Schedule'!$H$5:$H$31-'Games Schedule'!$D$5:$D$31,0))+SUMPRODUCT(('Games Schedule'!$Y$5:$Y$31=$D41)*IFERROR('Games Schedule'!$H$5:$H$31-'Games Schedule'!$D$5:$D$31,0))+SUMPRODUCT(('Games Schedule'!$Z$5:$Z$31=$D41)*IFERROR('Games Schedule'!$H$5:$H$31-'Games Schedule'!$D$5:$D$31,0)))*24</f>
      </c>
      <c r="G41" s="184"/>
      <c r="H41" s="184"/>
      <c r="I41" s="184"/>
    </row>
    <row r="42" spans="1:9">
      <c r="A42" s="184" t="s">
        <v>1601</v>
      </c>
      <c r="B42" s="184" t="s">
        <v>1073</v>
      </c>
      <c r="C42" s="184" t="s">
        <v>1602</v>
      </c>
      <c r="D42" s="184" t="s">
        <v>855</v>
      </c>
      <c r="E42" s="184" t="s">
        <v>1535</v>
      </c>
      <c r="F42" s="616" cm="1">
        <f t="array" ref="F42">(SUMPRODUCT(('Games Schedule'!$X$5:$X$31=$D42)*IFERROR('Games Schedule'!$H$5:$H$31-'Games Schedule'!$D$5:$D$31,0))+SUMPRODUCT(('Games Schedule'!$Y$5:$Y$31=$D42)*IFERROR('Games Schedule'!$H$5:$H$31-'Games Schedule'!$D$5:$D$31,0))+SUMPRODUCT(('Games Schedule'!$Z$5:$Z$31=$D42)*IFERROR('Games Schedule'!$H$5:$H$31-'Games Schedule'!$D$5:$D$31,0)))*24</f>
      </c>
      <c r="G42" s="184" t="s">
        <v>1549</v>
      </c>
      <c r="H42" s="184"/>
      <c r="I42" s="184"/>
    </row>
    <row r="43" spans="1:9">
      <c r="A43" s="184" t="s">
        <v>1603</v>
      </c>
      <c r="B43" s="184" t="s">
        <v>1120</v>
      </c>
      <c r="C43" s="184" t="s">
        <v>1160</v>
      </c>
      <c r="D43" s="184" t="s">
        <v>858</v>
      </c>
      <c r="E43" s="184" t="s">
        <v>1535</v>
      </c>
      <c r="F43" s="616" cm="1">
        <f t="array" ref="F43">(SUMPRODUCT(('Games Schedule'!$X$5:$X$31=$D43)*IFERROR('Games Schedule'!$H$5:$H$31-'Games Schedule'!$D$5:$D$31,0))+SUMPRODUCT(('Games Schedule'!$Y$5:$Y$31=$D43)*IFERROR('Games Schedule'!$H$5:$H$31-'Games Schedule'!$D$5:$D$31,0))+SUMPRODUCT(('Games Schedule'!$Z$5:$Z$31=$D43)*IFERROR('Games Schedule'!$H$5:$H$31-'Games Schedule'!$D$5:$D$31,0)))*24</f>
      </c>
      <c r="G43" s="184"/>
      <c r="H43" s="184" t="s">
        <v>1604</v>
      </c>
      <c r="I43" s="184"/>
    </row>
    <row r="44" spans="1:9">
      <c r="A44" s="184" t="s">
        <v>1605</v>
      </c>
      <c r="B44" s="184" t="s">
        <v>1309</v>
      </c>
      <c r="C44" s="184" t="s">
        <v>1273</v>
      </c>
      <c r="D44" s="184" t="s">
        <v>861</v>
      </c>
      <c r="E44" s="184" t="s">
        <v>1530</v>
      </c>
      <c r="F44" s="616" cm="1">
        <f t="array" ref="F44">(SUMPRODUCT(('Games Schedule'!$X$5:$X$31=$D44)*IFERROR('Games Schedule'!$H$5:$H$31-'Games Schedule'!$D$5:$D$31,0))+SUMPRODUCT(('Games Schedule'!$Y$5:$Y$31=$D44)*IFERROR('Games Schedule'!$H$5:$H$31-'Games Schedule'!$D$5:$D$31,0))+SUMPRODUCT(('Games Schedule'!$Z$5:$Z$31=$D44)*IFERROR('Games Schedule'!$H$5:$H$31-'Games Schedule'!$D$5:$D$31,0)))*24</f>
      </c>
      <c r="G44" s="184"/>
      <c r="H44" s="184"/>
      <c r="I44" s="184" t="s">
        <v>721</v>
      </c>
    </row>
    <row r="45" spans="1:9">
      <c r="A45" s="184" t="s">
        <v>1606</v>
      </c>
      <c r="B45" s="184" t="s">
        <v>1607</v>
      </c>
      <c r="C45" s="184" t="s">
        <v>1355</v>
      </c>
      <c r="D45" s="184" t="s">
        <v>864</v>
      </c>
      <c r="E45" s="184" t="s">
        <v>1530</v>
      </c>
      <c r="F45" s="616" cm="1">
        <f t="array" ref="F45">(SUMPRODUCT(('Games Schedule'!$X$5:$X$31=$D45)*IFERROR('Games Schedule'!$H$5:$H$31-'Games Schedule'!$D$5:$D$31,0))+SUMPRODUCT(('Games Schedule'!$Y$5:$Y$31=$D45)*IFERROR('Games Schedule'!$H$5:$H$31-'Games Schedule'!$D$5:$D$31,0))+SUMPRODUCT(('Games Schedule'!$Z$5:$Z$31=$D45)*IFERROR('Games Schedule'!$H$5:$H$31-'Games Schedule'!$D$5:$D$31,0)))*24</f>
      </c>
      <c r="G45" s="184"/>
      <c r="H45" s="184"/>
      <c r="I45" s="184"/>
    </row>
    <row r="46" spans="1:9">
      <c r="A46" s="184" t="s">
        <v>1608</v>
      </c>
      <c r="B46" s="184" t="s">
        <v>1609</v>
      </c>
      <c r="C46" s="184" t="s">
        <v>1303</v>
      </c>
      <c r="D46" s="184" t="s">
        <v>867</v>
      </c>
      <c r="E46" s="184" t="s">
        <v>1535</v>
      </c>
      <c r="F46" s="616" cm="1">
        <f t="array" ref="F46">(SUMPRODUCT(('Games Schedule'!$X$5:$X$31=$D46)*IFERROR('Games Schedule'!$H$5:$H$31-'Games Schedule'!$D$5:$D$31,0))+SUMPRODUCT(('Games Schedule'!$Y$5:$Y$31=$D46)*IFERROR('Games Schedule'!$H$5:$H$31-'Games Schedule'!$D$5:$D$31,0))+SUMPRODUCT(('Games Schedule'!$Z$5:$Z$31=$D46)*IFERROR('Games Schedule'!$H$5:$H$31-'Games Schedule'!$D$5:$D$31,0)))*24</f>
      </c>
      <c r="G46" s="184"/>
      <c r="H46" s="184" t="s">
        <v>1610</v>
      </c>
      <c r="I46" s="184"/>
    </row>
    <row r="47" spans="1:9">
      <c r="A47" s="184" t="s">
        <v>1611</v>
      </c>
      <c r="B47" s="184" t="s">
        <v>1309</v>
      </c>
      <c r="C47" s="184" t="s">
        <v>1074</v>
      </c>
      <c r="D47" s="184" t="s">
        <v>870</v>
      </c>
      <c r="E47" s="184" t="s">
        <v>1530</v>
      </c>
      <c r="F47" s="616" cm="1">
        <f t="array" ref="F47">(SUMPRODUCT(('Games Schedule'!$X$5:$X$31=$D47)*IFERROR('Games Schedule'!$H$5:$H$31-'Games Schedule'!$D$5:$D$31,0))+SUMPRODUCT(('Games Schedule'!$Y$5:$Y$31=$D47)*IFERROR('Games Schedule'!$H$5:$H$31-'Games Schedule'!$D$5:$D$31,0))+SUMPRODUCT(('Games Schedule'!$Z$5:$Z$31=$D47)*IFERROR('Games Schedule'!$H$5:$H$31-'Games Schedule'!$D$5:$D$31,0)))*24</f>
      </c>
      <c r="G47" s="184"/>
      <c r="H47" s="184"/>
      <c r="I47" s="184"/>
    </row>
    <row r="48" spans="1:9">
      <c r="A48" s="184" t="s">
        <v>1612</v>
      </c>
      <c r="B48" s="184" t="s">
        <v>1122</v>
      </c>
      <c r="C48" s="184" t="s">
        <v>1255</v>
      </c>
      <c r="D48" s="184" t="s">
        <v>580</v>
      </c>
      <c r="E48" s="184" t="s">
        <v>1530</v>
      </c>
      <c r="F48" s="616" cm="1">
        <f t="array" ref="F48">(SUMPRODUCT(('Games Schedule'!$X$5:$X$31=$D48)*IFERROR('Games Schedule'!$H$5:$H$31-'Games Schedule'!$D$5:$D$31,0))+SUMPRODUCT(('Games Schedule'!$Y$5:$Y$31=$D48)*IFERROR('Games Schedule'!$H$5:$H$31-'Games Schedule'!$D$5:$D$31,0))+SUMPRODUCT(('Games Schedule'!$Z$5:$Z$31=$D48)*IFERROR('Games Schedule'!$H$5:$H$31-'Games Schedule'!$D$5:$D$31,0)))*24</f>
      </c>
      <c r="G48" s="184" t="s">
        <v>1613</v>
      </c>
      <c r="H48" s="184"/>
      <c r="I48" s="184" t="s">
        <v>722</v>
      </c>
    </row>
    <row r="49" spans="1:9">
      <c r="A49" s="184" t="s">
        <v>1614</v>
      </c>
      <c r="B49" s="184" t="s">
        <v>1615</v>
      </c>
      <c r="C49" s="184" t="s">
        <v>1305</v>
      </c>
      <c r="D49" s="184" t="s">
        <v>587</v>
      </c>
      <c r="E49" s="184" t="s">
        <v>1530</v>
      </c>
      <c r="F49" s="616" cm="1">
        <f t="array" ref="F49">(SUMPRODUCT(('Games Schedule'!$X$5:$X$31=$D49)*IFERROR('Games Schedule'!$H$5:$H$31-'Games Schedule'!$D$5:$D$31,0))+SUMPRODUCT(('Games Schedule'!$Y$5:$Y$31=$D49)*IFERROR('Games Schedule'!$H$5:$H$31-'Games Schedule'!$D$5:$D$31,0))+SUMPRODUCT(('Games Schedule'!$Z$5:$Z$31=$D49)*IFERROR('Games Schedule'!$H$5:$H$31-'Games Schedule'!$D$5:$D$31,0)))*24</f>
      </c>
      <c r="G49" s="184" t="s">
        <v>1613</v>
      </c>
      <c r="H49" s="184" t="s">
        <v>588</v>
      </c>
      <c r="I49" s="184"/>
    </row>
    <row r="50" spans="1:9">
      <c r="A50" s="184" t="s">
        <v>1616</v>
      </c>
      <c r="B50" s="184" t="s">
        <v>1272</v>
      </c>
      <c r="C50" s="184" t="s">
        <v>1225</v>
      </c>
      <c r="D50" s="184" t="s">
        <v>1617</v>
      </c>
      <c r="E50" s="184" t="s">
        <v>1530</v>
      </c>
      <c r="F50" s="616" cm="1">
        <f t="array" ref="F50">(SUMPRODUCT(('Games Schedule'!$X$5:$X$31=$D50)*IFERROR('Games Schedule'!$H$5:$H$31-'Games Schedule'!$D$5:$D$31,0))+SUMPRODUCT(('Games Schedule'!$Y$5:$Y$31=$D50)*IFERROR('Games Schedule'!$H$5:$H$31-'Games Schedule'!$D$5:$D$31,0))+SUMPRODUCT(('Games Schedule'!$Z$5:$Z$31=$D50)*IFERROR('Games Schedule'!$H$5:$H$31-'Games Schedule'!$D$5:$D$31,0)))*24</f>
      </c>
      <c r="G50" s="184"/>
      <c r="H50" s="184"/>
      <c r="I50" s="184"/>
    </row>
    <row r="51" spans="1:9">
      <c r="A51" s="184" t="s">
        <v>1618</v>
      </c>
      <c r="B51" s="184" t="s">
        <v>1272</v>
      </c>
      <c r="C51" s="184" t="s">
        <v>1097</v>
      </c>
      <c r="D51" s="184" t="s">
        <v>1619</v>
      </c>
      <c r="E51" s="184" t="s">
        <v>1530</v>
      </c>
      <c r="F51" s="616" cm="1">
        <f t="array" ref="F51">(SUMPRODUCT(('Games Schedule'!$X$5:$X$31=$D51)*IFERROR('Games Schedule'!$H$5:$H$31-'Games Schedule'!$D$5:$D$31,0))+SUMPRODUCT(('Games Schedule'!$Y$5:$Y$31=$D51)*IFERROR('Games Schedule'!$H$5:$H$31-'Games Schedule'!$D$5:$D$31,0))+SUMPRODUCT(('Games Schedule'!$Z$5:$Z$31=$D51)*IFERROR('Games Schedule'!$H$5:$H$31-'Games Schedule'!$D$5:$D$31,0)))*24</f>
      </c>
      <c r="G51" s="184"/>
      <c r="H51" s="184"/>
      <c r="I51" s="184"/>
    </row>
    <row r="52" spans="1:9">
      <c r="A52" s="184" t="s">
        <v>1620</v>
      </c>
      <c r="B52" s="184" t="s">
        <v>1053</v>
      </c>
      <c r="C52" s="184" t="s">
        <v>1320</v>
      </c>
      <c r="D52" s="184" t="s">
        <v>1621</v>
      </c>
      <c r="E52" s="184" t="s">
        <v>1530</v>
      </c>
      <c r="F52" s="616" cm="1">
        <f t="array" ref="F52">(SUMPRODUCT(('Games Schedule'!$X$5:$X$31=$D52)*IFERROR('Games Schedule'!$H$5:$H$31-'Games Schedule'!$D$5:$D$31,0))+SUMPRODUCT(('Games Schedule'!$Y$5:$Y$31=$D52)*IFERROR('Games Schedule'!$H$5:$H$31-'Games Schedule'!$D$5:$D$31,0))+SUMPRODUCT(('Games Schedule'!$Z$5:$Z$31=$D52)*IFERROR('Games Schedule'!$H$5:$H$31-'Games Schedule'!$D$5:$D$31,0)))*24</f>
      </c>
      <c r="G52" s="184"/>
      <c r="H52" s="184" t="s">
        <v>1622</v>
      </c>
      <c r="I52" s="184" t="s">
        <v>726</v>
      </c>
    </row>
    <row r="53" spans="1:9">
      <c r="A53" s="184" t="s">
        <v>1623</v>
      </c>
      <c r="B53" s="184" t="s">
        <v>1272</v>
      </c>
      <c r="C53" s="184" t="s">
        <v>1624</v>
      </c>
      <c r="D53" s="184" t="s">
        <v>1625</v>
      </c>
      <c r="E53" s="184" t="s">
        <v>1530</v>
      </c>
      <c r="F53" s="616" cm="1">
        <f t="array" ref="F53">(SUMPRODUCT(('Games Schedule'!$X$5:$X$31=$D53)*IFERROR('Games Schedule'!$H$5:$H$31-'Games Schedule'!$D$5:$D$31,0))+SUMPRODUCT(('Games Schedule'!$Y$5:$Y$31=$D53)*IFERROR('Games Schedule'!$H$5:$H$31-'Games Schedule'!$D$5:$D$31,0))+SUMPRODUCT(('Games Schedule'!$Z$5:$Z$31=$D53)*IFERROR('Games Schedule'!$H$5:$H$31-'Games Schedule'!$D$5:$D$31,0)))*24</f>
      </c>
      <c r="G53" s="184" t="s">
        <v>1538</v>
      </c>
      <c r="H53" s="184"/>
      <c r="I53" s="184"/>
    </row>
    <row r="54" spans="1:9">
      <c r="A54" s="184" t="s">
        <v>1626</v>
      </c>
      <c r="B54" s="184" t="s">
        <v>1627</v>
      </c>
      <c r="C54" s="184" t="s">
        <v>1126</v>
      </c>
      <c r="D54" s="184" t="s">
        <v>1628</v>
      </c>
      <c r="E54" s="184" t="s">
        <v>1530</v>
      </c>
      <c r="F54" s="616" cm="1">
        <f t="array" ref="F54">(SUMPRODUCT(('Games Schedule'!$X$5:$X$31=$D54)*IFERROR('Games Schedule'!$H$5:$H$31-'Games Schedule'!$D$5:$D$31,0))+SUMPRODUCT(('Games Schedule'!$Y$5:$Y$31=$D54)*IFERROR('Games Schedule'!$H$5:$H$31-'Games Schedule'!$D$5:$D$31,0))+SUMPRODUCT(('Games Schedule'!$Z$5:$Z$31=$D54)*IFERROR('Games Schedule'!$H$5:$H$31-'Games Schedule'!$D$5:$D$31,0)))*24</f>
      </c>
      <c r="G54" s="184"/>
      <c r="H54" s="184"/>
      <c r="I54" s="184"/>
    </row>
    <row r="57" spans="1:9">
      <c r="A57" s="806" t="s">
        <v>1629</v>
      </c>
    </row>
    <row r="58" spans="1:9">
      <c r="A58" s="238" t="s">
        <v>1630</v>
      </c>
      <c r="B58" s="238" t="s">
        <v>1631</v>
      </c>
      <c r="C58" s="238" t="s">
        <v>1632</v>
      </c>
      <c r="D58" s="238" t="s">
        <v>1633</v>
      </c>
    </row>
    <row r="59" spans="1:9">
      <c r="A59" t="s">
        <v>419</v>
      </c>
      <c r="B59">
        <v>26</v>
      </c>
      <c r="C59">
        <v>64</v>
      </c>
      <c r="D59">
        <f>C59/B59</f>
      </c>
    </row>
    <row r="60" spans="1:9">
      <c r="A60" t="s">
        <v>416</v>
      </c>
      <c r="B60">
        <v>19</v>
      </c>
      <c r="C60">
        <v>46</v>
      </c>
      <c r="D60">
        <f>C60/B60</f>
      </c>
    </row>
    <row r="61" spans="1:9">
      <c r="A61" t="s">
        <v>621</v>
      </c>
      <c r="B61">
        <v>45</v>
      </c>
      <c r="C61">
        <v>110</v>
      </c>
      <c r="D61">
        <f>C61/B61</f>
      </c>
    </row>
    <row r="63" spans="1:9">
      <c r="A63" s="238" t="s">
        <v>1634</v>
      </c>
      <c r="B63" s="238" t="s">
        <v>419</v>
      </c>
      <c r="C63" s="238" t="s">
        <v>416</v>
      </c>
    </row>
    <row r="64" spans="1:9">
      <c r="A64">
        <v>8</v>
      </c>
      <c r="B64">
        <v>1</v>
      </c>
      <c r="C64">
        <v>0</v>
      </c>
    </row>
    <row r="65" spans="1:3">
      <c r="A65">
        <v>7</v>
      </c>
      <c r="B65">
        <v>0</v>
      </c>
      <c r="C65">
        <v>1</v>
      </c>
    </row>
    <row r="66" spans="1:3">
      <c r="A66">
        <v>6</v>
      </c>
      <c r="B66">
        <v>1</v>
      </c>
      <c r="C66">
        <v>0</v>
      </c>
    </row>
    <row r="67" spans="1:3">
      <c r="A67">
        <v>5</v>
      </c>
      <c r="B67">
        <v>1</v>
      </c>
      <c r="C67">
        <v>1</v>
      </c>
    </row>
    <row r="68" spans="1:3">
      <c r="A68">
        <v>4</v>
      </c>
      <c r="B68">
        <v>2</v>
      </c>
      <c r="C68">
        <v>3</v>
      </c>
    </row>
    <row r="69" spans="1:3">
      <c r="A69">
        <v>3</v>
      </c>
      <c r="B69">
        <v>6</v>
      </c>
      <c r="C69">
        <v>2</v>
      </c>
    </row>
    <row r="70" spans="1:3">
      <c r="A70">
        <v>2</v>
      </c>
      <c r="B70">
        <v>7</v>
      </c>
      <c r="C70">
        <v>6</v>
      </c>
    </row>
    <row r="71" spans="1:3">
      <c r="A71">
        <v>1</v>
      </c>
      <c r="B71">
        <v>5</v>
      </c>
      <c r="C71">
        <v>4</v>
      </c>
    </row>
    <row r="72" spans="1:3">
      <c r="A72" t="s">
        <v>621</v>
      </c>
      <c r="B72">
        <v>26</v>
      </c>
      <c r="C72">
        <v>19</v>
      </c>
    </row>
    <row r="73" spans="1:3">
      <c r="A73" t="s">
        <v>1635</v>
      </c>
      <c r="B73">
        <v>2.4615</v>
      </c>
      <c r="C73">
        <v>2.4211</v>
      </c>
    </row>
    <row r="74" spans="1:3">
      <c r="A74" t="s">
        <v>1636</v>
      </c>
      <c r="B74">
        <v>0.1154</v>
      </c>
      <c r="C74">
        <v>0.1053</v>
      </c>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9C27A"/>
  </sheetPr>
  <dimension ref="A1:D1000"/>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defaultColWidth="14.44140625" defaultRowHeight="15" customHeight="1"/>
  <cols>
    <col min="1" max="1" width="8.6640625" customWidth="1"/>
    <col min="2" max="2" width="18.44140625" customWidth="1"/>
    <col min="3" max="3" width="17" customWidth="1"/>
    <col min="4" max="5" width="14.33203125" customWidth="1"/>
    <col min="6" max="26" width="8.6640625" customWidth="1"/>
  </cols>
  <sheetData>
    <row r="1" spans="1:4" ht="15" customHeight="1">
      <c r="A1" s="805" t="s">
        <v>1637</v>
      </c>
    </row>
    <row r="3" spans="1:4" ht="18">
      <c r="B3" s="706" t="s">
        <v>61</v>
      </c>
      <c r="C3" s="807">
        <f>TEXT(Inputs!C22,"dddd mm/dd")</f>
      </c>
      <c r="D3" s="706" t="s">
        <v>1638</v>
      </c>
    </row>
    <row r="5" spans="1:4" ht="14.4">
      <c r="B5" s="39" t="s">
        <v>1009</v>
      </c>
      <c r="C5" s="39" t="s">
        <v>1639</v>
      </c>
      <c r="D5" s="25"/>
    </row>
    <row r="6" spans="1:4" ht="14.4">
      <c r="B6" s="29" t="s">
        <v>828</v>
      </c>
      <c r="C6" s="30">
        <v>1</v>
      </c>
      <c r="D6" s="22"/>
    </row>
    <row r="7" spans="1:4" ht="14.4">
      <c r="B7" s="31" t="s">
        <v>840</v>
      </c>
      <c r="C7" s="30">
        <v>1</v>
      </c>
      <c r="D7" s="23"/>
    </row>
    <row r="8" spans="1:4" ht="14.4">
      <c r="B8" s="29" t="s">
        <v>850</v>
      </c>
      <c r="C8" s="30">
        <v>1</v>
      </c>
      <c r="D8" s="22"/>
    </row>
    <row r="9" spans="1:4" ht="14.4">
      <c r="B9" s="31" t="s">
        <v>854</v>
      </c>
      <c r="C9" s="30">
        <v>1</v>
      </c>
      <c r="D9" s="23"/>
    </row>
    <row r="10" spans="1:4" ht="14.4">
      <c r="B10" s="2"/>
      <c r="C10" s="3"/>
    </row>
    <row r="11" spans="1:4" ht="14.4">
      <c r="B11" s="2"/>
      <c r="C11" s="3"/>
    </row>
    <row r="12" spans="1:4" ht="14.4">
      <c r="B12" s="2"/>
      <c r="C12" s="3"/>
    </row>
    <row r="13" spans="1:4" ht="14.4">
      <c r="B13" s="2"/>
      <c r="C13" s="3"/>
    </row>
    <row r="14" spans="1:4" ht="14.4">
      <c r="B14" s="2"/>
      <c r="C14" s="3"/>
    </row>
    <row r="15" spans="1:4" ht="14.4">
      <c r="B15" s="2"/>
      <c r="C15" s="3"/>
    </row>
    <row r="16" spans="1:4" ht="14.4">
      <c r="B16" s="2"/>
      <c r="C16" s="3"/>
    </row>
    <row r="17" spans="2:3" ht="14.4">
      <c r="B17" s="2"/>
      <c r="C17" s="3"/>
    </row>
    <row r="18" spans="2:3" ht="14.4">
      <c r="B18" s="2"/>
      <c r="C18" s="3"/>
    </row>
    <row r="19" spans="2:3" ht="14.4">
      <c r="B19" s="2"/>
      <c r="C19" s="3"/>
    </row>
    <row r="20" spans="2:3" ht="14.4">
      <c r="B20" s="2"/>
      <c r="C20" s="3"/>
    </row>
    <row r="21" spans="2:3" ht="15.75" customHeight="1">
      <c r="B21" s="2"/>
      <c r="C21" s="3"/>
    </row>
    <row r="22" spans="2:3" ht="15.75" customHeight="1">
      <c r="B22" s="2"/>
      <c r="C22" s="3"/>
    </row>
    <row r="23" spans="2:3" ht="15.75" customHeight="1">
      <c r="B23" s="2"/>
      <c r="C23" s="3"/>
    </row>
    <row r="24" spans="2:3" ht="15.75" customHeight="1">
      <c r="B24" s="2"/>
      <c r="C24" s="3"/>
    </row>
    <row r="25" spans="2:3" ht="15.75" customHeight="1">
      <c r="B25" s="2"/>
      <c r="C25" s="3"/>
    </row>
    <row r="26" spans="2:3" ht="15.75" customHeight="1">
      <c r="B26" s="2"/>
      <c r="C26" s="3"/>
    </row>
    <row r="27" spans="2:3" ht="15.75" customHeight="1">
      <c r="B27" s="2"/>
      <c r="C27" s="3"/>
    </row>
    <row r="28" spans="2:3" ht="15.75" customHeight="1">
      <c r="B28" s="2"/>
      <c r="C28" s="3"/>
    </row>
    <row r="29" spans="2:3" ht="15.75" customHeight="1">
      <c r="B29" s="2"/>
      <c r="C29" s="3"/>
    </row>
    <row r="30" spans="2:3" ht="15.75" customHeight="1">
      <c r="B30" s="2"/>
      <c r="C30" s="3"/>
    </row>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type="list" allowBlank="1" showErrorMessage="1" sqref="C6:C30" xr:uid="{00000000-0002-0000-0600-000001000000}">
      <formula1>"0,1"</formula1>
    </dataValidation>
    <dataValidation type="list" allowBlank="1" showErrorMessage="1" sqref="B6:B30" xr:uid="{00000000-0002-0000-0600-000000000000}">
      <formula1>#REF!</formula1>
    </dataValidation>
  </dataValidations>
  <pageMargins left="0.7" right="0.7" top="0.75" bottom="0.75" header="0" footer="0"/>
  <pageSetup orientation="portrait"/>
  <legacy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9C27A"/>
  </sheetPr>
  <dimension ref="A1:G1000"/>
  <sheetViews>
    <sheetView showGridLines="0" workbookViewId="0"/>
  </sheetViews>
  <sheetFormatPr defaultColWidth="14.44140625" defaultRowHeight="15" customHeight="1" outlineLevelRow="1"/>
  <cols>
    <col min="1" max="1" width="8.6640625" customWidth="1"/>
    <col min="2" max="2" width="26.6640625" customWidth="1"/>
    <col min="3" max="3" width="20.44140625" customWidth="1"/>
    <col min="4" max="4" width="33.5546875" customWidth="1"/>
    <col min="5" max="5" width="19.44140625" customWidth="1"/>
    <col min="6" max="6" width="11.109375" customWidth="1"/>
    <col min="7" max="7" width="39.44140625" customWidth="1"/>
    <col min="8" max="26" width="8.6640625" customWidth="1"/>
  </cols>
  <sheetData>
    <row r="1" spans="1:7" ht="15" customHeight="1">
      <c r="A1" s="805" t="s">
        <v>1640</v>
      </c>
    </row>
    <row r="2" spans="1:7" ht="28.2" customHeight="1">
      <c r="B2" s="851" t="s">
        <v>1641</v>
      </c>
      <c r="C2" s="852"/>
      <c r="D2" s="852"/>
      <c r="E2" s="852"/>
      <c r="F2" s="852"/>
      <c r="G2" s="853"/>
    </row>
    <row r="3" spans="1:7" ht="14.4">
      <c r="B3" s="679" t="s">
        <v>1642</v>
      </c>
      <c r="C3" s="679" t="s">
        <v>1643</v>
      </c>
      <c r="D3" s="679" t="s">
        <v>1644</v>
      </c>
      <c r="E3" s="679" t="s">
        <v>1645</v>
      </c>
      <c r="F3" s="679"/>
      <c r="G3" s="679" t="s">
        <v>1646</v>
      </c>
    </row>
    <row r="4" spans="1:7" ht="14.4">
      <c r="B4" s="42">
        <v>46429</v>
      </c>
      <c r="C4" s="43" t="s">
        <v>1647</v>
      </c>
      <c r="D4" s="43" t="s">
        <v>542</v>
      </c>
      <c r="E4" s="44" t="s">
        <v>545</v>
      </c>
      <c r="F4" s="43"/>
      <c r="G4" s="29" t="s">
        <v>828</v>
      </c>
    </row>
    <row r="5" spans="1:7" ht="14.4">
      <c r="B5" s="45">
        <v>46429</v>
      </c>
      <c r="C5" s="46" t="s">
        <v>1647</v>
      </c>
      <c r="D5" s="46" t="s">
        <v>551</v>
      </c>
      <c r="E5" s="47" t="s">
        <v>553</v>
      </c>
      <c r="F5" s="46"/>
      <c r="G5" s="31" t="s">
        <v>840</v>
      </c>
    </row>
    <row r="6" spans="1:7" ht="14.4">
      <c r="B6" s="42">
        <v>46429</v>
      </c>
      <c r="C6" s="48" t="s">
        <v>1648</v>
      </c>
      <c r="D6" s="43" t="s">
        <v>556</v>
      </c>
      <c r="E6" s="44" t="s">
        <v>559</v>
      </c>
      <c r="F6" s="43"/>
      <c r="G6" s="40" t="s">
        <v>857</v>
      </c>
    </row>
    <row r="7" spans="1:7" ht="14.4">
      <c r="B7" s="45">
        <v>46429</v>
      </c>
      <c r="C7" s="49" t="s">
        <v>1648</v>
      </c>
      <c r="D7" s="46" t="s">
        <v>564</v>
      </c>
      <c r="E7" s="47" t="s">
        <v>566</v>
      </c>
      <c r="F7" s="46"/>
      <c r="G7" s="41" t="s">
        <v>860</v>
      </c>
    </row>
    <row r="8" spans="1:7" ht="14.4" hidden="1" outlineLevel="1">
      <c r="B8" s="42">
        <v>46432</v>
      </c>
      <c r="C8" s="48" t="s">
        <v>1649</v>
      </c>
      <c r="D8" s="43" t="s">
        <v>542</v>
      </c>
      <c r="E8" s="44" t="s">
        <v>545</v>
      </c>
      <c r="F8" s="43"/>
      <c r="G8" s="40" t="s">
        <v>863</v>
      </c>
    </row>
    <row r="9" spans="1:7" ht="14.4" hidden="1" outlineLevel="1">
      <c r="B9" s="45">
        <v>46432</v>
      </c>
      <c r="C9" s="49" t="s">
        <v>1649</v>
      </c>
      <c r="D9" s="46" t="s">
        <v>551</v>
      </c>
      <c r="E9" s="47" t="s">
        <v>553</v>
      </c>
      <c r="F9" s="46"/>
      <c r="G9" s="41" t="s">
        <v>865</v>
      </c>
    </row>
    <row r="10" spans="1:7" ht="14.4" hidden="1" outlineLevel="1">
      <c r="B10" s="42">
        <v>46432</v>
      </c>
      <c r="C10" s="48">
        <v>0.6458333333333334</v>
      </c>
      <c r="D10" s="43" t="s">
        <v>1650</v>
      </c>
      <c r="E10" s="44"/>
      <c r="F10" s="43"/>
      <c r="G10" s="40"/>
    </row>
    <row r="11" spans="1:7" ht="14.4" hidden="1" outlineLevel="1">
      <c r="B11" s="45">
        <v>46432</v>
      </c>
      <c r="C11" s="49">
        <v>0.6458333333333334</v>
      </c>
      <c r="D11" s="46" t="s">
        <v>1650</v>
      </c>
      <c r="E11" s="47"/>
      <c r="F11" s="46"/>
      <c r="G11" s="41"/>
    </row>
    <row r="12" spans="1:7" ht="14.4" hidden="1" outlineLevel="1">
      <c r="B12" s="42">
        <v>46432</v>
      </c>
      <c r="C12" s="48">
        <v>0.6458333333333334</v>
      </c>
      <c r="D12" s="43" t="s">
        <v>1650</v>
      </c>
      <c r="E12" s="44"/>
      <c r="F12" s="43"/>
      <c r="G12" s="40"/>
    </row>
    <row r="13" spans="1:7" ht="14.4" collapsed="1"/>
    <row r="15" spans="1:7" ht="14.4">
      <c r="B1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G2"/>
  </mergeCells>
  <dataValidations count="1">
    <dataValidation type="list" allowBlank="1" showErrorMessage="1" sqref="G4:G12" xr:uid="{00000000-0002-0000-0700-000000000000}">
      <formula1>#REF!</formula1>
    </dataValidation>
  </dataValidations>
  <pageMargins left="0.7" right="0.7" top="0.75" bottom="0.75" header="0" footer="0"/>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B4009-1789-4E92-BFE8-164CF2A75FE8}">
  <sheetPr>
    <tabColor rgb="FF2F5597"/>
  </sheetPr>
  <dimension ref="A1"/>
  <sheetViews>
    <sheetView workbookViewId="0"/>
  </sheetViews>
  <sheetFormatPr defaultRowHeight="14.4"/>
  <sheetData>
    <row r="1" spans="1:1" ht="23.4">
      <c r="A1" s="156" t="s">
        <v>65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C13EE-B231-4083-944A-FB5697A6C49C}">
  <sheetPr>
    <tabColor rgb="FF9DC3E6"/>
  </sheetPr>
  <dimension ref="A1:S44"/>
  <sheetViews>
    <sheetView showGridLines="0" topLeftCell="A9" workbookViewId="0">
      <selection activeCell="I41" sqref="I41"/>
    </sheetView>
  </sheetViews>
  <sheetFormatPr defaultRowHeight="14.4"/>
  <cols>
    <col min="1" max="1" width="36.44140625" bestFit="1" customWidth="1"/>
    <col min="2" max="2" width="13.44140625" bestFit="1" customWidth="1"/>
    <col min="3" max="3" width="11.33203125" bestFit="1" customWidth="1"/>
    <col min="4" max="5" width="14.33203125" bestFit="1" customWidth="1"/>
    <col min="6" max="6" width="12.5546875" bestFit="1" customWidth="1"/>
    <col min="7" max="7" width="14.6640625" bestFit="1" customWidth="1"/>
    <col min="8" max="9" width="14.33203125" bestFit="1" customWidth="1"/>
    <col min="10" max="10" width="15.5546875" bestFit="1" customWidth="1"/>
    <col min="11" max="11" width="11.5546875" bestFit="1" customWidth="1"/>
    <col min="13" max="13" width="23.44140625" bestFit="1" customWidth="1"/>
    <col min="16" max="16" width="35" customWidth="1"/>
  </cols>
  <sheetData>
    <row r="1" spans="1:19" ht="25.8">
      <c r="A1" s="854" t="s">
        <v>1651</v>
      </c>
      <c r="B1" s="837"/>
      <c r="C1" s="837"/>
      <c r="D1" s="837"/>
      <c r="E1" s="837"/>
      <c r="F1" s="837"/>
      <c r="G1" s="837"/>
      <c r="H1" s="837"/>
    </row>
    <row r="2" spans="1:19">
      <c r="A2" s="805" t="s">
        <v>1652</v>
      </c>
    </row>
    <row r="3" spans="1:19" ht="18">
      <c r="A3" s="157" t="s">
        <v>1653</v>
      </c>
    </row>
    <row r="4" spans="1:19">
      <c r="A4" s="158" t="s">
        <v>100</v>
      </c>
      <c r="B4" s="158" t="s">
        <v>101</v>
      </c>
      <c r="C4" s="158" t="s">
        <v>103</v>
      </c>
      <c r="D4" s="158" t="s">
        <v>1654</v>
      </c>
    </row>
    <row r="5" spans="1:19" ht="21">
      <c r="A5" s="381">
        <f>H15</f>
      </c>
      <c r="B5" s="328">
        <f>H25</f>
      </c>
      <c r="C5" s="210">
        <f>A5-B5</f>
      </c>
      <c r="D5" s="211">
        <f>IFERROR(C5/A5,"n/a")</f>
      </c>
      <c r="E5" s="818" t="s">
        <v>1655</v>
      </c>
      <c r="F5" s="194"/>
      <c r="G5" s="194"/>
      <c r="H5" s="194"/>
    </row>
    <row r="6" spans="1:19" ht="21">
      <c r="A6" s="381">
        <f>I15</f>
      </c>
      <c r="B6" s="328">
        <f>I25</f>
      </c>
      <c r="C6" s="210">
        <f>A6-B6</f>
      </c>
      <c r="D6" s="211">
        <f>IFERROR(C6/A6,"n/a")</f>
      </c>
      <c r="E6" s="818" t="s">
        <v>1656</v>
      </c>
    </row>
    <row r="8" spans="1:19" ht="18">
      <c r="A8" s="157" t="s">
        <v>1657</v>
      </c>
    </row>
    <row r="9" spans="1:19" ht="15.6">
      <c r="A9" s="28" t="s">
        <v>122</v>
      </c>
      <c r="B9" s="28" t="s">
        <v>1658</v>
      </c>
      <c r="C9" s="28" t="s">
        <v>1659</v>
      </c>
      <c r="D9" s="28" t="s">
        <v>1660</v>
      </c>
      <c r="E9" s="28" t="s">
        <v>1661</v>
      </c>
      <c r="F9" s="28" t="s">
        <v>1662</v>
      </c>
      <c r="G9" s="28" t="s">
        <v>1663</v>
      </c>
      <c r="H9" s="635" t="s">
        <v>1664</v>
      </c>
      <c r="I9" s="636" t="s">
        <v>1665</v>
      </c>
      <c r="J9" s="237" t="s">
        <v>1666</v>
      </c>
      <c r="K9" s="237" t="s">
        <v>1667</v>
      </c>
      <c r="M9" s="326" t="s">
        <v>1668</v>
      </c>
      <c r="N9" s="326"/>
      <c r="P9" s="563" t="s">
        <v>1669</v>
      </c>
      <c r="Q9" s="563"/>
      <c r="R9" s="563"/>
      <c r="S9" s="563"/>
    </row>
    <row r="10" spans="1:19">
      <c r="A10" s="25" t="s">
        <v>1670</v>
      </c>
      <c r="B10" s="212"/>
      <c r="C10" s="212"/>
      <c r="D10" s="212"/>
      <c r="E10" s="212"/>
      <c r="F10" s="212"/>
      <c r="G10" s="212"/>
      <c r="H10" s="212"/>
      <c r="I10" s="212"/>
      <c r="M10" s="318" t="s">
        <v>708</v>
      </c>
      <c r="Q10" s="603" t="s">
        <v>390</v>
      </c>
      <c r="R10" s="603" t="s">
        <v>87</v>
      </c>
      <c r="S10" s="603" t="s">
        <v>391</v>
      </c>
    </row>
    <row r="11" spans="1:19">
      <c r="A11" t="s">
        <v>1671</v>
      </c>
      <c r="B11" s="384">
        <v>4950</v>
      </c>
      <c r="C11" s="384">
        <v>5800</v>
      </c>
      <c r="D11" s="384">
        <v>5500</v>
      </c>
      <c r="E11" s="384">
        <v>5500</v>
      </c>
      <c r="F11" s="213">
        <f>IF(D11=0,"-",E11-D11)</f>
      </c>
      <c r="G11" s="213">
        <f>IF(C11=0,"-",E11-C11)</f>
      </c>
      <c r="H11" s="584">
        <f>N11*N13</f>
      </c>
      <c r="I11" s="591">
        <f>COUNTIF('Registration 2027'!$J$2:$J$45,"Fully Registered")*N11+COUNTIF('Registration 2027'!$J$2:$J$45,"Deposit Paid")*N14</f>
      </c>
      <c r="J11" s="213">
        <f>I11-H11</f>
      </c>
      <c r="K11" s="213">
        <f>I11-E11</f>
      </c>
      <c r="M11" t="s">
        <v>1672</v>
      </c>
      <c r="N11" s="333">
        <f>Inputs!C18</f>
      </c>
      <c r="P11" t="s">
        <v>113</v>
      </c>
      <c r="Q11" s="20">
        <f>'Format Engine'!C8</f>
      </c>
      <c r="R11" s="20">
        <f>'Format Engine'!D8</f>
      </c>
      <c r="S11" s="20">
        <f>'Format Engine'!E8</f>
      </c>
    </row>
    <row r="12" spans="1:19">
      <c r="A12" t="s">
        <v>1673</v>
      </c>
      <c r="B12" s="384">
        <v>540</v>
      </c>
      <c r="C12" s="384">
        <v>762</v>
      </c>
      <c r="D12" s="384">
        <v>880</v>
      </c>
      <c r="E12" s="384">
        <v>1216</v>
      </c>
      <c r="F12" s="213">
        <f>IF(D12=0,"-",E12-D12)</f>
      </c>
      <c r="G12" s="213">
        <f>IF(C12=0,"-",E12-C12)</f>
      </c>
      <c r="H12" s="583">
        <f>E12</f>
      </c>
      <c r="I12" s="384">
        <v>0</v>
      </c>
      <c r="J12" s="213">
        <f>I12-H12</f>
      </c>
      <c r="K12" s="213">
        <f>I12-E12</f>
      </c>
      <c r="M12" t="s">
        <v>1674</v>
      </c>
      <c r="N12" s="809">
        <f>Inputs!C19</f>
      </c>
      <c r="P12" t="s">
        <v>1675</v>
      </c>
      <c r="Q12" s="20">
        <f>'Format Engine'!C13</f>
      </c>
      <c r="R12" s="20">
        <f>'Format Engine'!D13</f>
      </c>
      <c r="S12" s="20">
        <f>'Format Engine'!E13</f>
      </c>
    </row>
    <row r="13" spans="1:19">
      <c r="A13" t="s">
        <v>1676</v>
      </c>
      <c r="B13" s="384">
        <v>365</v>
      </c>
      <c r="C13" s="384">
        <v>410</v>
      </c>
      <c r="D13" s="384">
        <v>600</v>
      </c>
      <c r="E13" s="384">
        <v>0</v>
      </c>
      <c r="F13" s="213">
        <f>IF(D13=0,"-",E13-D13)</f>
      </c>
      <c r="G13" s="213">
        <f>IF(C13=0,"-",E13-C13)</f>
      </c>
      <c r="H13" s="384">
        <v>900</v>
      </c>
      <c r="I13" s="591" cm="1">
        <f t="array" ref="I13">SUMPRODUCT((Pre_orders__2[Payment status]="Paid")*Pre_orders__2[Qty]*IFERROR(VLOOKUP(Pre_orders__2[Item],'Price List Concession'!B:E,4,FALSE),0))</f>
      </c>
      <c r="J13" s="213">
        <f>I13-H13</f>
      </c>
      <c r="K13" s="213">
        <f>I13-E13</f>
      </c>
      <c r="M13" t="s">
        <v>1677</v>
      </c>
      <c r="N13" s="383">
        <f>Inputs!C13-N16</f>
      </c>
      <c r="P13" t="s">
        <v>1678</v>
      </c>
      <c r="Q13" s="20">
        <f>Q11-$N$16</f>
      </c>
      <c r="R13" s="20">
        <f t="shared" ref="R13:S13" si="0">R11-$N$16</f>
      </c>
      <c r="S13" s="20">
        <f t="shared" si="0"/>
      </c>
    </row>
    <row r="14" spans="1:19">
      <c r="A14" t="s">
        <v>1679</v>
      </c>
      <c r="B14" s="384">
        <v>0</v>
      </c>
      <c r="C14" s="384">
        <v>1850</v>
      </c>
      <c r="D14" s="384">
        <v>800</v>
      </c>
      <c r="E14" s="384">
        <v>8600</v>
      </c>
      <c r="F14" s="213">
        <f>IF(D14=0,"-",E14-D14)</f>
      </c>
      <c r="G14" s="213">
        <f>IF(C14=0,"-",E14-C14)</f>
      </c>
      <c r="H14" s="384">
        <v>9000</v>
      </c>
      <c r="I14" s="384">
        <v>0</v>
      </c>
      <c r="J14" s="213">
        <f>I14-H14</f>
      </c>
      <c r="K14" s="213">
        <f>I14-E14</f>
      </c>
      <c r="M14" t="s">
        <v>1680</v>
      </c>
      <c r="N14" s="213">
        <f>ROUND(N11*N12,0)</f>
      </c>
      <c r="P14" t="s">
        <v>1681</v>
      </c>
      <c r="Q14" s="159">
        <f>$N$11*Q13</f>
      </c>
      <c r="R14" s="159">
        <f t="shared" ref="R14:S14" si="1">$N$11*R13</f>
      </c>
      <c r="S14" s="159">
        <f t="shared" si="1"/>
      </c>
    </row>
    <row r="15" spans="1:19">
      <c r="A15" s="160" t="s">
        <v>100</v>
      </c>
      <c r="B15" s="214">
        <f>SUM(B11:B14)</f>
      </c>
      <c r="C15" s="214">
        <f>SUM(C11:C14)</f>
      </c>
      <c r="D15" s="214">
        <f>SUM(D11:D14)</f>
      </c>
      <c r="E15" s="214">
        <f>SUM(E11:E14)</f>
      </c>
      <c r="F15" s="214">
        <f>IF(D15=0,"-",E15-D15)</f>
      </c>
      <c r="G15" s="214">
        <f>IF(C15=0,"-",E15-C15)</f>
      </c>
      <c r="H15" s="214">
        <f>SUM(H11:H14)</f>
      </c>
      <c r="I15" s="214">
        <f>SUM(I11:I14)</f>
      </c>
      <c r="J15" s="213">
        <f>I15-H15</f>
      </c>
      <c r="K15" s="213">
        <f>I15-E15</f>
      </c>
      <c r="M15" t="s">
        <v>1682</v>
      </c>
      <c r="N15" s="213">
        <f>N11-N14</f>
      </c>
      <c r="P15" t="s">
        <v>1683</v>
      </c>
      <c r="Q15" s="159">
        <f>$H$12+$H$13+$H$14</f>
      </c>
      <c r="R15" s="159">
        <f t="shared" ref="R15:S15" si="2">$H$12+$H$13+$H$14</f>
      </c>
      <c r="S15" s="159">
        <f t="shared" si="2"/>
      </c>
    </row>
    <row r="16" spans="1:19">
      <c r="B16" s="213"/>
      <c r="C16" s="213"/>
      <c r="D16" s="213"/>
      <c r="E16" s="213"/>
      <c r="F16" s="213"/>
      <c r="G16" s="213"/>
      <c r="H16" s="159"/>
      <c r="I16" s="159"/>
      <c r="J16" s="159"/>
      <c r="K16" s="159"/>
      <c r="M16" t="s">
        <v>1684</v>
      </c>
      <c r="N16" s="319">
        <v>2</v>
      </c>
      <c r="P16" s="310" t="s">
        <v>1685</v>
      </c>
      <c r="Q16" s="598">
        <f>Q14+Q15</f>
      </c>
      <c r="R16" s="598">
        <f t="shared" ref="R16:S16" si="3">R14+R15</f>
      </c>
      <c r="S16" s="598">
        <f t="shared" si="3"/>
      </c>
    </row>
    <row r="17" spans="1:19">
      <c r="A17" s="25" t="s">
        <v>1686</v>
      </c>
      <c r="B17" s="212"/>
      <c r="C17" s="212"/>
      <c r="D17" s="212"/>
      <c r="E17" s="212"/>
      <c r="F17" s="212"/>
      <c r="G17" s="212"/>
      <c r="H17" s="212"/>
      <c r="I17" s="212"/>
      <c r="J17" s="159"/>
      <c r="K17" s="159"/>
      <c r="P17" t="s">
        <v>814</v>
      </c>
      <c r="Q17" s="159">
        <f>$H$18</f>
      </c>
      <c r="R17" s="159">
        <f>$H$18</f>
      </c>
      <c r="S17" s="159">
        <f>$H$18</f>
      </c>
    </row>
    <row r="18" spans="1:19">
      <c r="A18" t="s">
        <v>1687</v>
      </c>
      <c r="B18" s="384">
        <v>2780</v>
      </c>
      <c r="C18" s="384">
        <v>4410</v>
      </c>
      <c r="D18" s="384">
        <v>5850</v>
      </c>
      <c r="E18" s="327">
        <f>'Multi Year Financial Summary'!F39</f>
      </c>
      <c r="F18" s="213">
        <f t="shared" ref="F18:F23" si="4">IF(D18=0,"-",E18-D18)</f>
      </c>
      <c r="G18" s="213">
        <f t="shared" ref="G18:G23" si="5">IF(C18=0,"-",E18-C18)</f>
      </c>
      <c r="H18" s="327">
        <f>'Operations Costs'!$D$18</f>
      </c>
      <c r="I18" s="384">
        <v>0</v>
      </c>
      <c r="J18" s="213">
        <f t="shared" ref="J18:J22" si="6">I18-H18</f>
      </c>
      <c r="K18" s="213">
        <f t="shared" ref="K18:K22" si="7">I18-E18</f>
      </c>
      <c r="M18" s="28" t="s">
        <v>1688</v>
      </c>
      <c r="N18" s="28" t="s">
        <v>1689</v>
      </c>
      <c r="P18" t="s">
        <v>1690</v>
      </c>
      <c r="Q18" s="159">
        <f>$N$20*(1-IF(Q12&lt;=$N$22,$N$21,0))</f>
      </c>
      <c r="R18" s="159">
        <f t="shared" ref="R18:S18" si="8">$N$20*(1-IF(R12&lt;=$N$22,$N$21,0))</f>
      </c>
      <c r="S18" s="159">
        <f t="shared" si="8"/>
      </c>
    </row>
    <row r="19" spans="1:19">
      <c r="A19" t="s">
        <v>1690</v>
      </c>
      <c r="B19" s="384">
        <v>550</v>
      </c>
      <c r="C19" s="384">
        <v>560</v>
      </c>
      <c r="D19" s="384">
        <v>650</v>
      </c>
      <c r="E19" s="327">
        <f>'Multi Year Financial Summary'!F15</f>
      </c>
      <c r="F19" s="213">
        <f t="shared" si="4"/>
      </c>
      <c r="G19" s="213">
        <f t="shared" si="5"/>
      </c>
      <c r="H19" s="583">
        <f>N20*(1-IF('Format Engine'!H13&lt;=N22,N21,0))</f>
      </c>
      <c r="I19" s="384">
        <v>0</v>
      </c>
      <c r="J19" s="213">
        <f t="shared" si="6"/>
      </c>
      <c r="K19" s="213">
        <f t="shared" si="7"/>
      </c>
      <c r="M19" t="s">
        <v>1691</v>
      </c>
      <c r="N19" s="588">
        <v>265</v>
      </c>
      <c r="P19" t="s">
        <v>1692</v>
      </c>
      <c r="Q19" s="159">
        <f>$H$20+$H$21+$H$22+$H$23+$H$24</f>
      </c>
      <c r="R19" s="159">
        <f t="shared" ref="R19:S19" si="9">$H$20+$H$21+$H$22+$H$23+$H$24</f>
      </c>
      <c r="S19" s="159">
        <f t="shared" si="9"/>
      </c>
    </row>
    <row r="20" spans="1:19">
      <c r="A20" t="s">
        <v>1693</v>
      </c>
      <c r="B20" s="384">
        <v>360</v>
      </c>
      <c r="C20" s="384">
        <v>410</v>
      </c>
      <c r="D20" s="384">
        <v>440</v>
      </c>
      <c r="E20" s="327">
        <f>'Multi Year Financial Summary'!F32</f>
      </c>
      <c r="F20" s="213">
        <f t="shared" si="4"/>
      </c>
      <c r="G20" s="213">
        <f t="shared" si="5"/>
      </c>
      <c r="H20" s="327">
        <f>'Operations Costs'!$D$38</f>
      </c>
      <c r="I20" s="384">
        <v>0</v>
      </c>
      <c r="J20" s="213">
        <f t="shared" si="6"/>
      </c>
      <c r="K20" s="213">
        <f t="shared" si="7"/>
      </c>
      <c r="M20" t="s">
        <v>1694</v>
      </c>
      <c r="N20" s="333">
        <f>E19</f>
      </c>
      <c r="P20" s="310" t="s">
        <v>1695</v>
      </c>
      <c r="Q20" s="598">
        <f>Q17+Q18+Q19</f>
      </c>
      <c r="R20" s="598">
        <f t="shared" ref="R20:S20" si="10">R17+R18+R19</f>
      </c>
      <c r="S20" s="598">
        <f t="shared" si="10"/>
      </c>
    </row>
    <row r="21" spans="1:19">
      <c r="A21" t="s">
        <v>825</v>
      </c>
      <c r="B21" s="384">
        <v>620</v>
      </c>
      <c r="C21" s="384">
        <v>960</v>
      </c>
      <c r="D21" s="384">
        <v>980</v>
      </c>
      <c r="E21" s="327">
        <f>'Multi Year Financial Summary'!F22</f>
      </c>
      <c r="F21" s="213">
        <f t="shared" si="4"/>
      </c>
      <c r="G21" s="213">
        <f t="shared" si="5"/>
      </c>
      <c r="H21" s="327">
        <f>'Operations Costs'!$D$50</f>
      </c>
      <c r="I21" s="384">
        <v>0</v>
      </c>
      <c r="J21" s="213">
        <f t="shared" si="6"/>
      </c>
      <c r="K21" s="213">
        <f t="shared" si="7"/>
      </c>
      <c r="M21" t="s">
        <v>1696</v>
      </c>
      <c r="N21" s="589">
        <v>0.2</v>
      </c>
      <c r="P21" s="310" t="s">
        <v>1697</v>
      </c>
      <c r="Q21" s="598">
        <f>Q16-Q20</f>
      </c>
      <c r="R21" s="598">
        <f t="shared" ref="R21:S21" si="11">R16-R20</f>
      </c>
      <c r="S21" s="598">
        <f t="shared" si="11"/>
      </c>
    </row>
    <row r="22" spans="1:19">
      <c r="A22" t="s">
        <v>1698</v>
      </c>
      <c r="B22" s="384">
        <v>380</v>
      </c>
      <c r="C22" s="384">
        <v>420</v>
      </c>
      <c r="D22" s="384">
        <v>470</v>
      </c>
      <c r="E22" s="327">
        <f>'Multi Year Financial Summary'!F28+'Multi Year Financial Summary'!F29</f>
      </c>
      <c r="F22" s="213">
        <f t="shared" si="4"/>
      </c>
      <c r="G22" s="213">
        <f t="shared" si="5"/>
      </c>
      <c r="H22" s="213">
        <f>D22-120</f>
      </c>
      <c r="I22" s="384">
        <v>0</v>
      </c>
      <c r="J22" s="213">
        <f t="shared" si="6"/>
      </c>
      <c r="K22" s="213">
        <f t="shared" si="7"/>
      </c>
      <c r="M22" t="s">
        <v>1699</v>
      </c>
      <c r="N22" s="590">
        <v>18</v>
      </c>
    </row>
    <row r="23" spans="1:19">
      <c r="A23" t="s">
        <v>1700</v>
      </c>
      <c r="B23" s="384">
        <v>230</v>
      </c>
      <c r="C23" s="384">
        <v>280</v>
      </c>
      <c r="D23" s="384">
        <v>450</v>
      </c>
      <c r="E23" s="327">
        <f>'Multi Year Financial Summary'!F27</f>
      </c>
      <c r="F23" s="213">
        <f t="shared" si="4"/>
      </c>
      <c r="G23" s="213">
        <f t="shared" si="5"/>
      </c>
      <c r="H23" s="582">
        <f>D23+500</f>
      </c>
      <c r="I23" s="384">
        <v>0</v>
      </c>
      <c r="J23" s="213">
        <f>I23-H23</f>
      </c>
      <c r="K23" s="213">
        <f>I23-E23</f>
      </c>
    </row>
    <row r="24" spans="1:19">
      <c r="A24" s="194" t="s">
        <v>1701</v>
      </c>
      <c r="B24" s="384">
        <v>0</v>
      </c>
      <c r="C24" s="384">
        <v>0</v>
      </c>
      <c r="D24" s="384">
        <v>0</v>
      </c>
      <c r="E24" s="327">
        <f>'Multi Year Financial Summary'!F33+'Multi Year Financial Summary'!F34+'Multi Year Financial Summary'!F37</f>
      </c>
      <c r="F24" s="213"/>
      <c r="G24" s="213"/>
      <c r="H24" s="583">
        <f>D24</f>
      </c>
      <c r="I24" s="384">
        <v>0</v>
      </c>
      <c r="J24" s="213">
        <f>I24-H24</f>
      </c>
      <c r="K24" s="213">
        <f>I24-E24</f>
      </c>
    </row>
    <row r="25" spans="1:19">
      <c r="A25" s="160" t="s">
        <v>101</v>
      </c>
      <c r="B25" s="214">
        <f>SUM(B18:B24)</f>
      </c>
      <c r="C25" s="214">
        <f>SUM(C18:C24)</f>
      </c>
      <c r="D25" s="214">
        <f>SUM(D18:D24)</f>
      </c>
      <c r="E25" s="214">
        <f>SUM(E18:E24)</f>
      </c>
      <c r="F25" s="214">
        <f>IF(D25=0,"-",E25-D25)</f>
      </c>
      <c r="G25" s="214">
        <f>IF(C25=0,"-",E25-C25)</f>
      </c>
      <c r="H25" s="214">
        <f>SUM(H18:H24)</f>
      </c>
      <c r="I25" s="214">
        <f>SUM(I18:I24)</f>
      </c>
      <c r="J25" s="213">
        <f>I25-H25</f>
      </c>
      <c r="K25" s="213">
        <f>I25-E25</f>
      </c>
    </row>
    <row r="26" spans="1:19">
      <c r="B26" s="159"/>
      <c r="C26" s="159"/>
      <c r="D26" s="159"/>
      <c r="E26" s="159"/>
      <c r="F26" s="159"/>
      <c r="G26" s="159"/>
      <c r="H26" s="159"/>
      <c r="I26" s="159"/>
      <c r="J26" s="159"/>
      <c r="K26" s="159"/>
    </row>
    <row r="27" spans="1:19">
      <c r="A27" s="161" t="s">
        <v>1697</v>
      </c>
      <c r="B27" s="382">
        <f>B15-B25</f>
      </c>
      <c r="C27" s="382">
        <f>C15-C25</f>
      </c>
      <c r="D27" s="382">
        <f>D15-D25</f>
      </c>
      <c r="E27" s="382">
        <f>E15-E25</f>
      </c>
      <c r="F27" s="382">
        <f>E27-D27</f>
      </c>
      <c r="G27" s="382">
        <f>E27-C27</f>
      </c>
      <c r="H27" s="382">
        <f>H15-H25</f>
      </c>
      <c r="I27" s="382">
        <f>I15-I25</f>
      </c>
      <c r="J27" s="213">
        <f>I27-H27</f>
      </c>
      <c r="K27" s="213">
        <f>I27-E27</f>
      </c>
    </row>
    <row r="29" spans="1:19" ht="15.6">
      <c r="A29" s="21" t="s">
        <v>1702</v>
      </c>
    </row>
    <row r="30" spans="1:19">
      <c r="A30" s="310" t="s">
        <v>121</v>
      </c>
      <c r="B30" s="310" t="s">
        <v>1703</v>
      </c>
      <c r="C30" s="310" t="s">
        <v>1704</v>
      </c>
      <c r="D30" s="310" t="s">
        <v>1705</v>
      </c>
      <c r="E30" s="310" t="s">
        <v>1706</v>
      </c>
    </row>
    <row r="31" spans="1:19">
      <c r="A31" t="s">
        <v>1707</v>
      </c>
      <c r="B31" s="383">
        <f>SUMIFS(Pre_orders__2[Qty],Pre_orders__2[Item],"*Commemorative hoodie*",Pre_orders__2[Payment status],"Paid")</f>
      </c>
      <c r="C31" s="383">
        <f>SUMIFS(Pre_orders__2[Qty],Pre_orders__2[Item],"*Commemorative hoodie*",Pre_orders__2[Payment status],"Pending")</f>
      </c>
      <c r="D31" s="591">
        <f>B31*IFERROR(VLOOKUP(A31,'Price List Concession'!B:E,4,FALSE),0)</f>
      </c>
      <c r="E31" s="591">
        <f>C31*IFERROR(VLOOKUP(A31,'Price List Concession'!B:E,4,FALSE),0)</f>
      </c>
    </row>
    <row r="32" spans="1:19">
      <c r="A32" t="s">
        <v>1708</v>
      </c>
      <c r="B32" s="383">
        <f>SUMIFS(Pre_orders__2[Qty],Pre_orders__2[Item],"*Commemorative hat*",Pre_orders__2[Payment status],"Paid")</f>
      </c>
      <c r="C32" s="383">
        <f>SUMIFS(Pre_orders__2[Qty],Pre_orders__2[Item],"*Commemorative hat*",Pre_orders__2[Payment status],"Pending")</f>
      </c>
      <c r="D32" s="591">
        <f>B32*IFERROR(VLOOKUP(A32,'Price List Concession'!B:E,4,FALSE),0)</f>
      </c>
      <c r="E32" s="591">
        <f>C32*IFERROR(VLOOKUP(A32,'Price List Concession'!B:E,4,FALSE),0)</f>
      </c>
    </row>
    <row r="33" spans="1:9">
      <c r="A33" t="s">
        <v>1709</v>
      </c>
      <c r="B33" s="383">
        <f>SUMIFS(Pre_orders__2[Qty],Pre_orders__2[Item],"*bundle*",Pre_orders__2[Payment status],"Paid")</f>
      </c>
      <c r="C33" s="383">
        <f>SUMIFS(Pre_orders__2[Qty],Pre_orders__2[Item],"*bundle*",Pre_orders__2[Payment status],"Pending")</f>
      </c>
      <c r="D33" s="591">
        <f>B33*IFERROR(VLOOKUP(A33,'Price List Concession'!B:E,4,FALSE),0)</f>
      </c>
      <c r="E33" s="591">
        <f>C33*IFERROR(VLOOKUP(A33,'Price List Concession'!B:E,4,FALSE),0)</f>
      </c>
    </row>
    <row r="34" spans="1:9">
      <c r="A34" s="716" t="s">
        <v>621</v>
      </c>
      <c r="B34" s="717">
        <f>SUM(B31:B33)</f>
      </c>
      <c r="C34" s="717">
        <f>SUM(C31:C33)</f>
      </c>
      <c r="D34" s="718">
        <f>SUM(D31:D33)</f>
      </c>
      <c r="E34" s="718">
        <f>SUM(E31:E33)</f>
      </c>
    </row>
    <row r="35" spans="1:9">
      <c r="A35" t="s">
        <v>1710</v>
      </c>
      <c r="D35" s="159">
        <f>H13</f>
      </c>
    </row>
    <row r="36" spans="1:9">
      <c r="A36" t="s">
        <v>1711</v>
      </c>
      <c r="D36" s="719">
        <f>IFERROR(D34/D35,0)</f>
      </c>
    </row>
    <row r="38" spans="1:9" ht="15.6">
      <c r="A38" s="728" t="s">
        <v>1712</v>
      </c>
      <c r="B38" s="727"/>
      <c r="C38" s="727"/>
      <c r="D38" s="727"/>
      <c r="E38" s="772" t="s">
        <v>1713</v>
      </c>
      <c r="F38" s="727"/>
      <c r="G38" s="727"/>
      <c r="H38" s="727"/>
      <c r="I38" s="727"/>
    </row>
    <row r="39" spans="1:9">
      <c r="A39" s="755" t="s">
        <v>1714</v>
      </c>
      <c r="H39" s="756" t="s">
        <v>1715</v>
      </c>
      <c r="I39" s="756" t="s">
        <v>1716</v>
      </c>
    </row>
    <row r="40" spans="1:9">
      <c r="A40" t="s">
        <v>1717</v>
      </c>
      <c r="H40" s="773">
        <f>'Merch Pre-Order (COGS)'!B36</f>
      </c>
      <c r="I40" s="773">
        <f>'Merch Pre-Order (COGS)'!C36</f>
      </c>
    </row>
    <row r="41" spans="1:9">
      <c r="A41" t="s">
        <v>1718</v>
      </c>
      <c r="H41" s="773">
        <f>'Merch Pre-Order (COGS)'!B37+'Merch Pre-Order (COGS)'!B38+'Merch Pre-Order (COGS)'!B39</f>
      </c>
      <c r="I41" s="773">
        <f>'Merch Pre-Order (COGS)'!C37+'Merch Pre-Order (COGS)'!C38+'Merch Pre-Order (COGS)'!C39</f>
      </c>
    </row>
    <row r="42" spans="1:9">
      <c r="A42" s="768" t="s">
        <v>1719</v>
      </c>
      <c r="H42" s="774">
        <f>'Merch Pre-Order (COGS)'!B40</f>
      </c>
      <c r="I42" s="774">
        <f>'Merch Pre-Order (COGS)'!C40</f>
      </c>
    </row>
    <row r="44" spans="1:9">
      <c r="A44" s="755" t="s">
        <v>1720</v>
      </c>
      <c r="H44" s="775">
        <f>H27+H42-H13</f>
      </c>
      <c r="I44" s="775">
        <f>I27+I42-I13</f>
      </c>
    </row>
  </sheetData>
  <mergeCells count="1">
    <mergeCell ref="A1:H1"/>
  </mergeCells>
  <pageMargins left="0.7" right="0.7" top="0.75" bottom="0.75" header="0.3" footer="0.3"/>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B9D28-6E18-4567-A112-846F7D68C352}">
  <sheetPr>
    <tabColor rgb="FF9DC3E6"/>
    <outlinePr summaryBelow="0" summaryRight="0"/>
  </sheetPr>
  <dimension ref="A1:Z1002"/>
  <sheetViews>
    <sheetView showGridLines="0" topLeftCell="D18" workbookViewId="0">
      <selection activeCell="G42" sqref="G42"/>
    </sheetView>
  </sheetViews>
  <sheetFormatPr defaultColWidth="14.44140625" defaultRowHeight="15" customHeight="1" outlineLevelRow="1"/>
  <cols>
    <col min="1" max="1" width="30" style="73" customWidth="1"/>
    <col min="2" max="2" width="13.5546875" style="73" customWidth="1"/>
    <col min="3" max="3" width="10.6640625" style="73" customWidth="1"/>
    <col min="4" max="4" width="13" style="73" customWidth="1"/>
    <col min="5" max="5" width="25.88671875" style="73" customWidth="1"/>
    <col min="6" max="6" width="12.5546875" style="73" customWidth="1"/>
    <col min="7" max="7" width="265" style="73" customWidth="1"/>
    <col min="8" max="8" width="14.88671875" style="73" customWidth="1"/>
    <col min="9" max="10" width="12.5546875" style="73" customWidth="1"/>
    <col min="11" max="11" width="7" style="73" customWidth="1"/>
    <col min="12" max="12" width="11.109375" style="73" customWidth="1"/>
    <col min="13" max="26" width="12.5546875" style="73" customWidth="1"/>
    <col min="27" max="16384" width="14.44140625" style="73"/>
  </cols>
  <sheetData>
    <row r="1" spans="1:26" ht="15.75" customHeight="1">
      <c r="A1" s="167" t="s">
        <v>1721</v>
      </c>
      <c r="B1" s="168" t="s">
        <v>1722</v>
      </c>
      <c r="C1" s="168" t="s">
        <v>1658</v>
      </c>
      <c r="D1" s="168" t="s">
        <v>1659</v>
      </c>
      <c r="E1" s="169" t="s">
        <v>1660</v>
      </c>
      <c r="F1" s="170" t="s">
        <v>1661</v>
      </c>
      <c r="G1" s="295" t="s">
        <v>1664</v>
      </c>
      <c r="H1" s="296" t="s">
        <v>1665</v>
      </c>
      <c r="I1" s="72"/>
      <c r="J1" s="72"/>
      <c r="K1" s="72"/>
      <c r="L1" s="72"/>
      <c r="M1" s="72"/>
      <c r="N1" s="72"/>
      <c r="O1" s="72"/>
      <c r="P1" s="72"/>
      <c r="Q1" s="72"/>
      <c r="R1" s="72"/>
      <c r="S1" s="72"/>
      <c r="T1" s="72"/>
      <c r="U1" s="72"/>
      <c r="V1" s="72"/>
      <c r="W1" s="72"/>
      <c r="X1" s="72"/>
      <c r="Y1" s="72"/>
      <c r="Z1" s="72"/>
    </row>
    <row r="2" spans="1:26" ht="15.75" customHeight="1">
      <c r="A2" s="220" t="s">
        <v>1671</v>
      </c>
      <c r="B2" s="221"/>
      <c r="C2" s="407">
        <v>4950</v>
      </c>
      <c r="D2" s="407">
        <v>5800</v>
      </c>
      <c r="E2" s="385">
        <f t="shared" ref="E2:F2" si="0">550*10</f>
      </c>
      <c r="F2" s="386">
        <f t="shared" si="0"/>
      </c>
      <c r="G2" s="810">
        <f>'Budget Dashboard'!H11</f>
      </c>
      <c r="H2" s="408">
        <v>0</v>
      </c>
      <c r="I2" s="72"/>
      <c r="J2" s="72"/>
      <c r="K2" s="72"/>
      <c r="L2" s="72"/>
      <c r="M2" s="72"/>
      <c r="N2" s="72"/>
      <c r="O2" s="72"/>
      <c r="P2" s="72"/>
      <c r="Q2" s="72"/>
      <c r="R2" s="72"/>
      <c r="S2" s="72"/>
      <c r="T2" s="72"/>
      <c r="U2" s="72"/>
      <c r="V2" s="72"/>
      <c r="W2" s="72"/>
      <c r="X2" s="72"/>
      <c r="Y2" s="72"/>
      <c r="Z2" s="72"/>
    </row>
    <row r="3" spans="1:26" ht="15.75" customHeight="1">
      <c r="A3" s="220" t="s">
        <v>1673</v>
      </c>
      <c r="B3" s="222"/>
      <c r="C3" s="409">
        <v>540</v>
      </c>
      <c r="D3" s="409">
        <v>762.4</v>
      </c>
      <c r="E3" s="410">
        <v>880</v>
      </c>
      <c r="F3" s="523">
        <v>1215.6</v>
      </c>
      <c r="G3" s="387">
        <f t="shared" ref="G3:G7" si="1">E3</f>
      </c>
      <c r="H3" s="411">
        <v>0</v>
      </c>
      <c r="I3" s="72"/>
      <c r="J3" s="72"/>
      <c r="K3" s="72"/>
      <c r="L3" s="72"/>
      <c r="M3" s="72"/>
      <c r="N3" s="72"/>
      <c r="O3" s="72"/>
      <c r="P3" s="72"/>
      <c r="Q3" s="72"/>
      <c r="R3" s="72"/>
      <c r="S3" s="72"/>
      <c r="T3" s="72"/>
      <c r="U3" s="72"/>
      <c r="V3" s="72"/>
      <c r="W3" s="72"/>
      <c r="X3" s="72"/>
      <c r="Y3" s="72"/>
      <c r="Z3" s="72"/>
    </row>
    <row r="4" spans="1:26" ht="15.75" customHeight="1">
      <c r="A4" s="220" t="s">
        <v>1723</v>
      </c>
      <c r="B4" s="222"/>
      <c r="C4" s="409">
        <v>365</v>
      </c>
      <c r="D4" s="409">
        <v>410</v>
      </c>
      <c r="E4" s="410">
        <v>600</v>
      </c>
      <c r="F4" s="79">
        <v>0</v>
      </c>
      <c r="G4" s="387">
        <f t="shared" si="1"/>
      </c>
      <c r="H4" s="411">
        <v>0</v>
      </c>
      <c r="I4" s="72"/>
      <c r="J4" s="72"/>
      <c r="K4" s="72"/>
      <c r="L4" s="72"/>
      <c r="M4" s="72"/>
      <c r="N4" s="72"/>
      <c r="O4" s="72"/>
      <c r="P4" s="72"/>
      <c r="Q4" s="72"/>
      <c r="R4" s="72"/>
      <c r="S4" s="72"/>
      <c r="T4" s="72"/>
      <c r="U4" s="72"/>
      <c r="V4" s="72"/>
      <c r="W4" s="72"/>
      <c r="X4" s="72"/>
      <c r="Y4" s="72"/>
      <c r="Z4" s="72"/>
    </row>
    <row r="5" spans="1:26" ht="15.75" customHeight="1">
      <c r="A5" s="220" t="s">
        <v>1724</v>
      </c>
      <c r="B5" s="222"/>
      <c r="C5" s="409">
        <v>0</v>
      </c>
      <c r="D5" s="409">
        <v>1100</v>
      </c>
      <c r="E5" s="409">
        <v>0</v>
      </c>
      <c r="F5" s="79">
        <v>2600</v>
      </c>
      <c r="G5" s="387">
        <f t="shared" si="1"/>
      </c>
      <c r="H5" s="411">
        <v>0</v>
      </c>
      <c r="I5" s="72"/>
      <c r="J5" s="72"/>
      <c r="K5" s="72"/>
      <c r="L5" s="72"/>
      <c r="M5" s="72"/>
      <c r="N5" s="72"/>
      <c r="O5" s="72"/>
      <c r="P5" s="72"/>
      <c r="Q5" s="72"/>
      <c r="R5" s="72"/>
      <c r="S5" s="72"/>
      <c r="T5" s="72"/>
      <c r="U5" s="72"/>
      <c r="V5" s="72"/>
      <c r="W5" s="72"/>
      <c r="X5" s="72"/>
      <c r="Y5" s="72"/>
      <c r="Z5" s="72"/>
    </row>
    <row r="6" spans="1:26" ht="15.75" customHeight="1">
      <c r="A6" s="220" t="s">
        <v>1725</v>
      </c>
      <c r="B6" s="222"/>
      <c r="C6" s="409">
        <v>0</v>
      </c>
      <c r="D6" s="409">
        <v>750</v>
      </c>
      <c r="E6" s="409">
        <v>800</v>
      </c>
      <c r="F6" s="388">
        <f>3500+2500</f>
      </c>
      <c r="G6" s="387">
        <f t="shared" si="1"/>
      </c>
      <c r="H6" s="411">
        <v>0</v>
      </c>
      <c r="I6" s="72"/>
      <c r="J6" s="72"/>
      <c r="K6" s="72"/>
      <c r="L6" s="72"/>
      <c r="M6" s="72"/>
      <c r="N6" s="72"/>
      <c r="O6" s="72"/>
      <c r="P6" s="72"/>
      <c r="Q6" s="72"/>
      <c r="R6" s="72"/>
      <c r="S6" s="72"/>
      <c r="T6" s="72"/>
      <c r="U6" s="72"/>
      <c r="V6" s="72"/>
      <c r="W6" s="72"/>
      <c r="X6" s="72"/>
      <c r="Y6" s="72"/>
      <c r="Z6" s="72"/>
    </row>
    <row r="7" spans="1:26" ht="15.75" customHeight="1">
      <c r="A7" s="220" t="s">
        <v>1726</v>
      </c>
      <c r="B7" s="222"/>
      <c r="C7" s="409">
        <v>2150</v>
      </c>
      <c r="D7" s="409">
        <v>0</v>
      </c>
      <c r="E7" s="409">
        <v>0</v>
      </c>
      <c r="F7" s="79">
        <v>0</v>
      </c>
      <c r="G7" s="387">
        <f t="shared" si="1"/>
      </c>
      <c r="H7" s="411">
        <v>0</v>
      </c>
      <c r="I7" s="72"/>
      <c r="J7" s="72"/>
      <c r="K7" s="72"/>
      <c r="L7" s="72"/>
      <c r="M7" s="72"/>
      <c r="N7" s="72"/>
      <c r="O7" s="72"/>
      <c r="P7" s="72"/>
      <c r="Q7" s="72"/>
      <c r="R7" s="72"/>
      <c r="S7" s="72"/>
      <c r="T7" s="72"/>
      <c r="U7" s="72"/>
      <c r="V7" s="72"/>
      <c r="W7" s="72"/>
      <c r="X7" s="72"/>
      <c r="Y7" s="72"/>
      <c r="Z7" s="72"/>
    </row>
    <row r="8" spans="1:26" ht="15.75" customHeight="1">
      <c r="A8" s="223" t="s">
        <v>1727</v>
      </c>
      <c r="B8" s="224"/>
      <c r="C8" s="389">
        <f>SUM(C2:C7)</f>
      </c>
      <c r="D8" s="389">
        <f>SUM(D2:D7)</f>
      </c>
      <c r="E8" s="389">
        <f>SUM(E2:E7)</f>
      </c>
      <c r="F8" s="390">
        <f>SUM(F2+F3+F4+F5+F6+F7)</f>
      </c>
      <c r="G8" s="391">
        <f>SUM(G2:G7)</f>
      </c>
      <c r="H8" s="391">
        <f>SUM(H2:H7)</f>
      </c>
      <c r="I8" s="72"/>
      <c r="J8" s="72"/>
      <c r="K8" s="72"/>
      <c r="L8" s="72"/>
      <c r="M8" s="72"/>
      <c r="N8" s="72"/>
      <c r="O8" s="72"/>
      <c r="P8" s="72"/>
      <c r="Q8" s="72"/>
      <c r="R8" s="72"/>
      <c r="S8" s="72"/>
      <c r="T8" s="72"/>
      <c r="U8" s="72"/>
      <c r="V8" s="72"/>
      <c r="W8" s="72"/>
      <c r="X8" s="72"/>
      <c r="Y8" s="72"/>
      <c r="Z8" s="72"/>
    </row>
    <row r="9" spans="1:26" ht="15.75" customHeight="1">
      <c r="A9" s="221"/>
      <c r="B9" s="222"/>
      <c r="C9" s="217"/>
      <c r="D9" s="217"/>
      <c r="E9" s="218"/>
      <c r="F9" s="218"/>
      <c r="G9" s="80"/>
      <c r="H9" s="80"/>
      <c r="I9" s="72"/>
      <c r="J9" s="72"/>
      <c r="K9" s="72"/>
      <c r="L9" s="72"/>
      <c r="M9" s="72"/>
      <c r="N9" s="72"/>
      <c r="O9" s="72"/>
      <c r="P9" s="72"/>
      <c r="Q9" s="72"/>
      <c r="R9" s="72"/>
      <c r="S9" s="72"/>
      <c r="T9" s="72"/>
      <c r="U9" s="72"/>
      <c r="V9" s="72"/>
      <c r="W9" s="72"/>
      <c r="X9" s="72"/>
      <c r="Y9" s="72"/>
      <c r="Z9" s="72"/>
    </row>
    <row r="10" spans="1:26" ht="15.75" customHeight="1">
      <c r="A10" s="167" t="s">
        <v>1728</v>
      </c>
      <c r="B10" s="167"/>
      <c r="C10" s="167"/>
      <c r="D10" s="167"/>
      <c r="E10" s="167"/>
      <c r="F10" s="167"/>
      <c r="G10" s="297"/>
      <c r="H10" s="80"/>
      <c r="I10" s="72"/>
      <c r="J10" s="72"/>
      <c r="K10" s="72"/>
      <c r="L10" s="72"/>
      <c r="M10" s="72"/>
      <c r="N10" s="72"/>
      <c r="O10" s="72"/>
      <c r="P10" s="72"/>
      <c r="Q10" s="72"/>
      <c r="R10" s="72"/>
      <c r="S10" s="72"/>
      <c r="T10" s="72"/>
      <c r="U10" s="72"/>
      <c r="V10" s="72"/>
      <c r="W10" s="72"/>
      <c r="X10" s="72"/>
      <c r="Y10" s="72"/>
      <c r="Z10" s="72"/>
    </row>
    <row r="11" spans="1:26" ht="15.75" customHeight="1" outlineLevel="1">
      <c r="A11" s="225" t="s">
        <v>1729</v>
      </c>
      <c r="B11" s="221"/>
      <c r="C11" s="409">
        <v>15</v>
      </c>
      <c r="D11" s="409">
        <v>15</v>
      </c>
      <c r="E11" s="409">
        <v>15</v>
      </c>
      <c r="F11" s="412">
        <v>15</v>
      </c>
      <c r="G11" s="387">
        <f t="shared" ref="G11:G21" si="2">E11</f>
      </c>
      <c r="H11" s="411">
        <v>0</v>
      </c>
      <c r="I11" s="72"/>
      <c r="J11" s="72"/>
      <c r="K11" s="72"/>
      <c r="L11" s="72"/>
      <c r="M11" s="72"/>
      <c r="N11" s="72"/>
      <c r="O11" s="72"/>
      <c r="P11" s="72"/>
      <c r="Q11" s="72"/>
      <c r="R11" s="72"/>
      <c r="S11" s="72"/>
      <c r="T11" s="72"/>
      <c r="U11" s="72"/>
      <c r="V11" s="72"/>
      <c r="W11" s="72"/>
      <c r="X11" s="72"/>
      <c r="Y11" s="72"/>
      <c r="Z11" s="72"/>
    </row>
    <row r="12" spans="1:26" ht="15.75" customHeight="1" outlineLevel="1">
      <c r="A12" s="225" t="s">
        <v>1730</v>
      </c>
      <c r="B12" s="221"/>
      <c r="C12" s="409">
        <v>15.6</v>
      </c>
      <c r="D12" s="409">
        <v>88.4</v>
      </c>
      <c r="E12" s="409">
        <v>25</v>
      </c>
      <c r="F12" s="79">
        <v>0</v>
      </c>
      <c r="G12" s="387">
        <f t="shared" si="2"/>
      </c>
      <c r="H12" s="411">
        <v>0</v>
      </c>
      <c r="I12" s="72"/>
      <c r="J12" s="72"/>
      <c r="K12" s="72"/>
      <c r="L12" s="72"/>
      <c r="M12" s="72"/>
      <c r="N12" s="72"/>
      <c r="O12" s="72"/>
      <c r="P12" s="72"/>
      <c r="Q12" s="72"/>
      <c r="R12" s="72"/>
      <c r="S12" s="72"/>
      <c r="T12" s="72"/>
      <c r="U12" s="72"/>
      <c r="V12" s="72"/>
      <c r="W12" s="72"/>
      <c r="X12" s="72"/>
      <c r="Y12" s="72"/>
      <c r="Z12" s="72"/>
    </row>
    <row r="13" spans="1:26" ht="15.75" customHeight="1" outlineLevel="1">
      <c r="A13" s="225" t="s">
        <v>1731</v>
      </c>
      <c r="B13" s="221"/>
      <c r="C13" s="409">
        <v>2210</v>
      </c>
      <c r="D13" s="409">
        <v>2690.5</v>
      </c>
      <c r="E13" s="385">
        <f>F13</f>
      </c>
      <c r="F13" s="386">
        <f>540.25+1910.6+1655.3</f>
      </c>
      <c r="G13" s="392">
        <f t="shared" si="2"/>
      </c>
      <c r="H13" s="413">
        <v>0</v>
      </c>
      <c r="I13" s="72"/>
      <c r="J13" s="72"/>
      <c r="K13" s="72"/>
      <c r="L13" s="72"/>
      <c r="M13" s="72"/>
      <c r="N13" s="72"/>
      <c r="O13" s="72"/>
      <c r="P13" s="72"/>
      <c r="Q13" s="72"/>
      <c r="R13" s="72"/>
      <c r="S13" s="72"/>
      <c r="T13" s="72"/>
      <c r="U13" s="72"/>
      <c r="V13" s="72"/>
      <c r="W13" s="72"/>
      <c r="X13" s="72"/>
      <c r="Y13" s="72"/>
      <c r="Z13" s="72"/>
    </row>
    <row r="14" spans="1:26" ht="15.75" customHeight="1" outlineLevel="1">
      <c r="A14" s="225" t="s">
        <v>1732</v>
      </c>
      <c r="B14" s="222"/>
      <c r="C14" s="409">
        <v>0</v>
      </c>
      <c r="D14" s="409">
        <v>0</v>
      </c>
      <c r="E14" s="409">
        <v>0</v>
      </c>
      <c r="F14" s="79">
        <v>0</v>
      </c>
      <c r="G14" s="387">
        <f t="shared" si="2"/>
      </c>
      <c r="H14" s="411">
        <v>0</v>
      </c>
      <c r="I14" s="72"/>
      <c r="J14" s="72"/>
      <c r="K14" s="72"/>
      <c r="L14" s="72"/>
      <c r="M14" s="72"/>
      <c r="N14" s="72"/>
      <c r="O14" s="72"/>
      <c r="P14" s="72"/>
      <c r="Q14" s="72"/>
      <c r="R14" s="72"/>
      <c r="S14" s="72"/>
      <c r="T14" s="72"/>
      <c r="U14" s="72"/>
      <c r="V14" s="72"/>
      <c r="W14" s="72"/>
      <c r="X14" s="72"/>
      <c r="Y14" s="72"/>
      <c r="Z14" s="72"/>
    </row>
    <row r="15" spans="1:26" ht="15.75" customHeight="1">
      <c r="A15" s="226" t="s">
        <v>1733</v>
      </c>
      <c r="B15" s="227"/>
      <c r="C15" s="393">
        <f t="shared" ref="C15:F15" si="3">SUM(C11:C14)</f>
      </c>
      <c r="D15" s="393">
        <f t="shared" si="3"/>
      </c>
      <c r="E15" s="393">
        <f t="shared" si="3"/>
      </c>
      <c r="F15" s="394">
        <f t="shared" si="3"/>
      </c>
      <c r="G15" s="387">
        <f t="shared" si="2"/>
      </c>
      <c r="H15" s="411">
        <v>0</v>
      </c>
      <c r="I15" s="72"/>
      <c r="J15" s="72"/>
      <c r="K15" s="72"/>
      <c r="L15" s="72"/>
      <c r="M15" s="72"/>
      <c r="N15" s="72"/>
      <c r="O15" s="72"/>
      <c r="P15" s="72"/>
      <c r="Q15" s="72"/>
      <c r="R15" s="72"/>
      <c r="S15" s="72"/>
      <c r="T15" s="72"/>
      <c r="U15" s="72"/>
      <c r="V15" s="72"/>
      <c r="W15" s="72"/>
      <c r="X15" s="72"/>
      <c r="Y15" s="72"/>
      <c r="Z15" s="72"/>
    </row>
    <row r="16" spans="1:26" ht="15.75" customHeight="1" outlineLevel="1">
      <c r="A16" s="225" t="s">
        <v>1734</v>
      </c>
      <c r="B16" s="221"/>
      <c r="C16" s="409">
        <v>780</v>
      </c>
      <c r="D16" s="215"/>
      <c r="E16" s="405">
        <f>'Operations Costs'!D50</f>
      </c>
      <c r="F16" s="504">
        <v>842.5</v>
      </c>
      <c r="G16" s="387">
        <f t="shared" si="2"/>
      </c>
      <c r="H16" s="411">
        <v>0</v>
      </c>
      <c r="I16" s="72"/>
      <c r="J16" s="72"/>
      <c r="K16" s="72"/>
      <c r="L16" s="72"/>
      <c r="M16" s="72"/>
      <c r="N16" s="72"/>
      <c r="O16" s="72"/>
      <c r="P16" s="72"/>
      <c r="Q16" s="72"/>
      <c r="R16" s="72"/>
      <c r="S16" s="72"/>
      <c r="T16" s="72"/>
      <c r="U16" s="72"/>
      <c r="V16" s="72"/>
      <c r="W16" s="72"/>
      <c r="X16" s="72"/>
      <c r="Y16" s="72"/>
      <c r="Z16" s="72"/>
    </row>
    <row r="17" spans="1:26" ht="15.75" customHeight="1" outlineLevel="1">
      <c r="A17" s="225" t="s">
        <v>1735</v>
      </c>
      <c r="B17" s="221"/>
      <c r="C17" s="215"/>
      <c r="D17" s="409">
        <v>110</v>
      </c>
      <c r="E17" s="215"/>
      <c r="F17" s="219"/>
      <c r="G17" s="387">
        <f t="shared" si="2"/>
      </c>
      <c r="H17" s="411">
        <v>0</v>
      </c>
      <c r="I17" s="72"/>
      <c r="J17" s="72"/>
      <c r="K17" s="82"/>
      <c r="L17" s="72"/>
      <c r="M17" s="72"/>
      <c r="N17" s="72"/>
      <c r="O17" s="72"/>
      <c r="P17" s="72"/>
      <c r="Q17" s="72"/>
      <c r="R17" s="72"/>
      <c r="S17" s="72"/>
      <c r="T17" s="72"/>
      <c r="U17" s="72"/>
      <c r="V17" s="72"/>
      <c r="W17" s="72"/>
      <c r="X17" s="72"/>
      <c r="Y17" s="72"/>
      <c r="Z17" s="72"/>
    </row>
    <row r="18" spans="1:26" ht="15.75" customHeight="1" outlineLevel="1">
      <c r="A18" s="225" t="s">
        <v>1736</v>
      </c>
      <c r="B18" s="221"/>
      <c r="C18" s="215"/>
      <c r="D18" s="409">
        <v>135</v>
      </c>
      <c r="E18" s="215"/>
      <c r="F18" s="219"/>
      <c r="G18" s="387">
        <f t="shared" si="2"/>
      </c>
      <c r="H18" s="411">
        <v>0</v>
      </c>
      <c r="I18" s="72"/>
      <c r="J18" s="72"/>
      <c r="K18" s="82"/>
      <c r="L18" s="72"/>
      <c r="M18" s="72"/>
      <c r="N18" s="72"/>
      <c r="O18" s="72"/>
      <c r="P18" s="72"/>
      <c r="Q18" s="72"/>
      <c r="R18" s="72"/>
      <c r="S18" s="72"/>
      <c r="T18" s="72"/>
      <c r="U18" s="72"/>
      <c r="V18" s="72"/>
      <c r="W18" s="72"/>
      <c r="X18" s="72"/>
      <c r="Y18" s="72"/>
      <c r="Z18" s="72"/>
    </row>
    <row r="19" spans="1:26" ht="15.75" customHeight="1" outlineLevel="1">
      <c r="A19" s="225" t="s">
        <v>1737</v>
      </c>
      <c r="B19" s="221"/>
      <c r="C19" s="215"/>
      <c r="D19" s="409">
        <v>210</v>
      </c>
      <c r="E19" s="215"/>
      <c r="F19" s="219"/>
      <c r="G19" s="387">
        <f t="shared" si="2"/>
      </c>
      <c r="H19" s="411">
        <v>0</v>
      </c>
      <c r="I19" s="72"/>
      <c r="J19" s="72"/>
      <c r="K19" s="82"/>
      <c r="L19" s="72"/>
      <c r="M19" s="72"/>
      <c r="N19" s="72"/>
      <c r="O19" s="72"/>
      <c r="P19" s="72"/>
      <c r="Q19" s="72"/>
      <c r="R19" s="72"/>
      <c r="S19" s="72"/>
      <c r="T19" s="72"/>
      <c r="U19" s="72"/>
      <c r="V19" s="72"/>
      <c r="W19" s="72"/>
      <c r="X19" s="72"/>
      <c r="Y19" s="72"/>
      <c r="Z19" s="72"/>
    </row>
    <row r="20" spans="1:26" ht="15.75" customHeight="1" outlineLevel="1">
      <c r="A20" s="225" t="s">
        <v>1738</v>
      </c>
      <c r="B20" s="221"/>
      <c r="C20" s="409">
        <v>0</v>
      </c>
      <c r="D20" s="409">
        <v>225</v>
      </c>
      <c r="E20" s="215"/>
      <c r="F20" s="219"/>
      <c r="G20" s="387">
        <f t="shared" si="2"/>
      </c>
      <c r="H20" s="411">
        <v>0</v>
      </c>
      <c r="I20" s="72"/>
      <c r="J20" s="72"/>
      <c r="K20" s="82"/>
      <c r="L20" s="72"/>
      <c r="M20" s="72"/>
      <c r="N20" s="72"/>
      <c r="O20" s="72"/>
      <c r="P20" s="72"/>
      <c r="Q20" s="72"/>
      <c r="R20" s="72"/>
      <c r="S20" s="72"/>
      <c r="T20" s="72"/>
      <c r="U20" s="72"/>
      <c r="V20" s="72"/>
      <c r="W20" s="72"/>
      <c r="X20" s="72"/>
      <c r="Y20" s="72"/>
      <c r="Z20" s="72"/>
    </row>
    <row r="21" spans="1:26" ht="15.75" customHeight="1" outlineLevel="1">
      <c r="A21" s="228" t="s">
        <v>1739</v>
      </c>
      <c r="B21" s="229"/>
      <c r="C21" s="414">
        <v>0</v>
      </c>
      <c r="D21" s="414">
        <v>298.4</v>
      </c>
      <c r="E21" s="395">
        <f>D21</f>
      </c>
      <c r="F21" s="79">
        <v>187.25</v>
      </c>
      <c r="G21" s="387">
        <f t="shared" si="2"/>
      </c>
      <c r="H21" s="411">
        <v>0</v>
      </c>
      <c r="I21" s="72"/>
      <c r="J21" s="72"/>
      <c r="K21" s="72"/>
      <c r="L21" s="72"/>
      <c r="M21" s="72"/>
      <c r="N21" s="72"/>
      <c r="O21" s="72"/>
      <c r="P21" s="72"/>
      <c r="Q21" s="72"/>
      <c r="R21" s="72"/>
      <c r="S21" s="72"/>
      <c r="T21" s="72"/>
      <c r="U21" s="72"/>
      <c r="V21" s="72"/>
      <c r="W21" s="72"/>
      <c r="X21" s="72"/>
      <c r="Y21" s="72"/>
      <c r="Z21" s="72"/>
    </row>
    <row r="22" spans="1:26" ht="15.75" customHeight="1">
      <c r="A22" s="226" t="s">
        <v>1740</v>
      </c>
      <c r="B22" s="230"/>
      <c r="C22" s="393">
        <f t="shared" ref="C22:F22" si="4">SUM(C16:C21)</f>
      </c>
      <c r="D22" s="393">
        <f t="shared" si="4"/>
      </c>
      <c r="E22" s="393">
        <f t="shared" si="4"/>
      </c>
      <c r="F22" s="394">
        <f t="shared" si="4"/>
      </c>
      <c r="G22" s="387">
        <f>SUM(G16:G21)</f>
      </c>
      <c r="H22" s="387">
        <f>SUM(H11:H21)</f>
      </c>
      <c r="I22" s="72"/>
      <c r="J22" s="72"/>
      <c r="K22" s="72"/>
      <c r="L22" s="72"/>
      <c r="M22" s="72"/>
      <c r="N22" s="72"/>
      <c r="O22" s="72"/>
      <c r="P22" s="72"/>
      <c r="Q22" s="72"/>
      <c r="R22" s="72"/>
      <c r="S22" s="72"/>
      <c r="T22" s="72"/>
      <c r="U22" s="72"/>
      <c r="V22" s="72"/>
      <c r="W22" s="72"/>
      <c r="X22" s="72"/>
      <c r="Y22" s="72"/>
      <c r="Z22" s="72"/>
    </row>
    <row r="23" spans="1:26" ht="15.75" customHeight="1" outlineLevel="1">
      <c r="A23" s="225" t="s">
        <v>1741</v>
      </c>
      <c r="B23" s="221"/>
      <c r="C23" s="409">
        <v>205.5</v>
      </c>
      <c r="D23" s="409">
        <v>1760.3</v>
      </c>
      <c r="E23" s="407">
        <v>350</v>
      </c>
      <c r="F23" s="216"/>
      <c r="G23" s="76" t="s">
        <v>1742</v>
      </c>
      <c r="H23" s="76"/>
      <c r="I23" s="72"/>
      <c r="J23" s="72"/>
      <c r="K23" s="72"/>
      <c r="L23" s="72"/>
      <c r="M23" s="72"/>
      <c r="N23" s="72"/>
      <c r="O23" s="72"/>
      <c r="P23" s="72"/>
      <c r="Q23" s="72"/>
      <c r="R23" s="72"/>
      <c r="S23" s="72"/>
      <c r="T23" s="72"/>
      <c r="U23" s="72"/>
      <c r="V23" s="72"/>
      <c r="W23" s="72"/>
      <c r="X23" s="72"/>
      <c r="Y23" s="72"/>
      <c r="Z23" s="72"/>
    </row>
    <row r="24" spans="1:26" ht="15.75" customHeight="1" outlineLevel="1">
      <c r="A24" s="225" t="s">
        <v>1743</v>
      </c>
      <c r="B24" s="221"/>
      <c r="C24" s="215"/>
      <c r="D24" s="409">
        <v>250</v>
      </c>
      <c r="E24" s="407">
        <v>0</v>
      </c>
      <c r="F24" s="79">
        <v>0</v>
      </c>
      <c r="G24" s="76" t="s">
        <v>1744</v>
      </c>
      <c r="H24" s="76"/>
      <c r="I24" s="72"/>
      <c r="J24" s="72"/>
      <c r="K24" s="72"/>
      <c r="L24" s="72"/>
      <c r="M24" s="72"/>
      <c r="N24" s="72"/>
      <c r="O24" s="72"/>
      <c r="P24" s="72"/>
      <c r="Q24" s="72"/>
      <c r="R24" s="72"/>
      <c r="S24" s="72"/>
      <c r="T24" s="72"/>
      <c r="U24" s="72"/>
      <c r="V24" s="72"/>
      <c r="W24" s="72"/>
      <c r="X24" s="72"/>
      <c r="Y24" s="72"/>
      <c r="Z24" s="72"/>
    </row>
    <row r="25" spans="1:26" ht="15.75" customHeight="1" outlineLevel="1">
      <c r="A25" s="225" t="s">
        <v>1745</v>
      </c>
      <c r="B25" s="221"/>
      <c r="C25" s="215"/>
      <c r="D25" s="409">
        <v>92.6</v>
      </c>
      <c r="E25" s="407">
        <v>90</v>
      </c>
      <c r="F25" s="388">
        <f>64.8+47.1</f>
      </c>
      <c r="G25" s="76" t="s">
        <v>1746</v>
      </c>
      <c r="H25" s="76"/>
      <c r="I25" s="72"/>
      <c r="J25" s="72"/>
      <c r="K25" s="72"/>
      <c r="L25" s="72"/>
      <c r="M25" s="72"/>
      <c r="N25" s="72"/>
      <c r="O25" s="72"/>
      <c r="P25" s="72"/>
      <c r="Q25" s="72"/>
      <c r="R25" s="72"/>
      <c r="S25" s="72"/>
      <c r="T25" s="72"/>
      <c r="U25" s="72"/>
      <c r="V25" s="72"/>
      <c r="W25" s="72"/>
      <c r="X25" s="72"/>
      <c r="Y25" s="72"/>
      <c r="Z25" s="72"/>
    </row>
    <row r="26" spans="1:26" ht="15.75" customHeight="1" outlineLevel="1">
      <c r="A26" s="83" t="s">
        <v>1747</v>
      </c>
      <c r="B26" s="84"/>
      <c r="C26" s="414">
        <v>35</v>
      </c>
      <c r="D26" s="414">
        <v>0</v>
      </c>
      <c r="E26" s="415">
        <v>45</v>
      </c>
      <c r="F26" s="85"/>
      <c r="G26" s="76" t="s">
        <v>1748</v>
      </c>
      <c r="H26" s="76"/>
      <c r="I26" s="72"/>
      <c r="J26" s="72"/>
      <c r="K26" s="72"/>
      <c r="L26" s="72"/>
      <c r="M26" s="72"/>
      <c r="N26" s="72"/>
      <c r="O26" s="72"/>
      <c r="P26" s="72"/>
      <c r="Q26" s="72"/>
      <c r="R26" s="72"/>
      <c r="S26" s="72"/>
      <c r="T26" s="72"/>
      <c r="U26" s="72"/>
      <c r="V26" s="72"/>
      <c r="W26" s="72"/>
      <c r="X26" s="72"/>
      <c r="Y26" s="72"/>
      <c r="Z26" s="72"/>
    </row>
    <row r="27" spans="1:26" ht="15.75" customHeight="1">
      <c r="A27" s="81" t="s">
        <v>1749</v>
      </c>
      <c r="B27" s="86"/>
      <c r="C27" s="396">
        <f>SUM(C23:C26)</f>
      </c>
      <c r="D27" s="416">
        <v>2102.9</v>
      </c>
      <c r="E27" s="396">
        <f t="shared" ref="E27:F27" si="5">SUM(E23:E26)</f>
      </c>
      <c r="F27" s="397">
        <f t="shared" si="5"/>
      </c>
      <c r="G27" s="72"/>
      <c r="H27" s="72"/>
      <c r="I27" s="72"/>
      <c r="J27" s="72"/>
      <c r="K27" s="72"/>
      <c r="L27" s="72"/>
      <c r="M27" s="72"/>
      <c r="N27" s="72"/>
      <c r="O27" s="72"/>
      <c r="P27" s="72"/>
      <c r="Q27" s="72"/>
      <c r="R27" s="72"/>
      <c r="S27" s="72"/>
      <c r="T27" s="72"/>
      <c r="U27" s="72"/>
      <c r="V27" s="72"/>
      <c r="W27" s="72"/>
      <c r="X27" s="72"/>
      <c r="Y27" s="72"/>
      <c r="Z27" s="72"/>
    </row>
    <row r="28" spans="1:26" ht="15.75" customHeight="1">
      <c r="A28" s="74" t="s">
        <v>1673</v>
      </c>
      <c r="B28" s="77"/>
      <c r="C28" s="409">
        <v>350.2</v>
      </c>
      <c r="D28" s="409">
        <v>395.8</v>
      </c>
      <c r="E28" s="409">
        <v>880</v>
      </c>
      <c r="F28" s="523">
        <v>368.4</v>
      </c>
      <c r="G28" s="398">
        <f>E28</f>
      </c>
      <c r="H28" s="417">
        <v>0</v>
      </c>
      <c r="I28" s="72"/>
      <c r="J28" s="72"/>
      <c r="K28" s="72"/>
      <c r="L28" s="72"/>
      <c r="M28" s="72"/>
      <c r="N28" s="72"/>
      <c r="O28" s="72"/>
      <c r="P28" s="72"/>
      <c r="Q28" s="72"/>
      <c r="R28" s="72"/>
      <c r="S28" s="72"/>
      <c r="T28" s="72"/>
      <c r="U28" s="72"/>
      <c r="V28" s="72"/>
      <c r="W28" s="72"/>
      <c r="X28" s="72"/>
      <c r="Y28" s="72"/>
      <c r="Z28" s="72"/>
    </row>
    <row r="29" spans="1:26" ht="15.75" customHeight="1">
      <c r="A29" s="74" t="s">
        <v>1750</v>
      </c>
      <c r="B29" s="77"/>
      <c r="C29" s="409">
        <v>0</v>
      </c>
      <c r="D29" s="409">
        <v>1315.6</v>
      </c>
      <c r="E29" s="87">
        <v>450</v>
      </c>
      <c r="F29" s="523">
        <v>980</v>
      </c>
      <c r="G29" s="76" t="s">
        <v>1751</v>
      </c>
      <c r="H29" s="76"/>
      <c r="I29" s="72"/>
      <c r="J29" s="72"/>
      <c r="K29" s="72"/>
      <c r="L29" s="72"/>
      <c r="M29" s="72"/>
      <c r="N29" s="72"/>
      <c r="O29" s="72"/>
      <c r="P29" s="72"/>
      <c r="Q29" s="72"/>
      <c r="R29" s="72"/>
      <c r="S29" s="72"/>
      <c r="T29" s="72"/>
      <c r="U29" s="72"/>
      <c r="V29" s="72"/>
      <c r="W29" s="72"/>
      <c r="X29" s="72"/>
      <c r="Y29" s="72"/>
      <c r="Z29" s="72"/>
    </row>
    <row r="30" spans="1:26" ht="15.75" customHeight="1">
      <c r="A30" s="74" t="s">
        <v>1752</v>
      </c>
      <c r="B30" s="77"/>
      <c r="C30" s="409">
        <v>121.3</v>
      </c>
      <c r="D30" s="75"/>
      <c r="E30" s="409">
        <v>500</v>
      </c>
      <c r="F30" s="79">
        <v>0</v>
      </c>
      <c r="G30" s="76" t="s">
        <v>1753</v>
      </c>
      <c r="H30" s="76"/>
      <c r="I30" s="72"/>
      <c r="J30" s="88"/>
      <c r="K30" s="88"/>
      <c r="L30" s="88"/>
      <c r="M30" s="72"/>
      <c r="N30" s="72"/>
      <c r="O30" s="72"/>
      <c r="P30" s="72"/>
      <c r="Q30" s="72"/>
      <c r="R30" s="72"/>
      <c r="S30" s="72"/>
      <c r="T30" s="72"/>
      <c r="U30" s="72"/>
      <c r="V30" s="72"/>
      <c r="W30" s="72"/>
      <c r="X30" s="72"/>
      <c r="Y30" s="72"/>
      <c r="Z30" s="72"/>
    </row>
    <row r="31" spans="1:26" ht="15.75" customHeight="1">
      <c r="A31" s="89" t="s">
        <v>1754</v>
      </c>
      <c r="B31" s="77"/>
      <c r="C31" s="75"/>
      <c r="D31" s="409">
        <v>384.5</v>
      </c>
      <c r="E31" s="405">
        <f>'Operations Costs'!D38</f>
      </c>
      <c r="F31" s="79">
        <v>0</v>
      </c>
      <c r="G31" s="76"/>
      <c r="H31" s="76"/>
      <c r="I31" s="72"/>
      <c r="J31" s="88"/>
      <c r="K31" s="88"/>
      <c r="L31" s="88"/>
      <c r="M31" s="72"/>
      <c r="N31" s="72"/>
      <c r="O31" s="72"/>
      <c r="P31" s="72"/>
      <c r="Q31" s="72"/>
      <c r="R31" s="72"/>
      <c r="S31" s="72"/>
      <c r="T31" s="72"/>
      <c r="U31" s="72"/>
      <c r="V31" s="72"/>
      <c r="W31" s="72"/>
      <c r="X31" s="72"/>
      <c r="Y31" s="72"/>
      <c r="Z31" s="72"/>
    </row>
    <row r="32" spans="1:26" ht="15.75" customHeight="1">
      <c r="A32" s="89" t="s">
        <v>1755</v>
      </c>
      <c r="B32" s="77"/>
      <c r="C32" s="75"/>
      <c r="D32" s="409">
        <v>384.5</v>
      </c>
      <c r="E32" s="75"/>
      <c r="F32" s="404">
        <v>404.8</v>
      </c>
      <c r="G32" s="76" t="s">
        <v>1756</v>
      </c>
      <c r="H32" s="76"/>
      <c r="I32" s="72"/>
      <c r="J32" s="88"/>
      <c r="K32" s="88"/>
      <c r="L32" s="88"/>
      <c r="M32" s="72"/>
      <c r="N32" s="72"/>
      <c r="O32" s="72"/>
      <c r="P32" s="72"/>
      <c r="Q32" s="72"/>
      <c r="R32" s="72"/>
      <c r="S32" s="72"/>
      <c r="T32" s="72"/>
      <c r="U32" s="72"/>
      <c r="V32" s="72"/>
      <c r="W32" s="72"/>
      <c r="X32" s="72"/>
      <c r="Y32" s="72"/>
      <c r="Z32" s="72"/>
    </row>
    <row r="33" spans="1:26" ht="15.75" customHeight="1">
      <c r="A33" s="74" t="s">
        <v>1757</v>
      </c>
      <c r="B33" s="77"/>
      <c r="C33" s="409">
        <v>0</v>
      </c>
      <c r="D33" s="409">
        <v>0</v>
      </c>
      <c r="E33" s="409">
        <v>0</v>
      </c>
      <c r="F33" s="388">
        <f>95+290</f>
      </c>
      <c r="G33" s="76" t="s">
        <v>1758</v>
      </c>
      <c r="H33" s="76"/>
      <c r="I33" s="72"/>
      <c r="J33" s="88"/>
      <c r="K33" s="88"/>
      <c r="L33" s="88"/>
      <c r="M33" s="72"/>
      <c r="N33" s="72"/>
      <c r="O33" s="72"/>
      <c r="P33" s="72"/>
      <c r="Q33" s="72"/>
      <c r="R33" s="72"/>
      <c r="S33" s="72"/>
      <c r="T33" s="72"/>
      <c r="U33" s="72"/>
      <c r="V33" s="72"/>
      <c r="W33" s="72"/>
      <c r="X33" s="72"/>
      <c r="Y33" s="72"/>
      <c r="Z33" s="72"/>
    </row>
    <row r="34" spans="1:26" ht="15.75" customHeight="1">
      <c r="A34" s="74" t="s">
        <v>1759</v>
      </c>
      <c r="B34" s="77"/>
      <c r="C34" s="75"/>
      <c r="D34" s="75"/>
      <c r="E34" s="75"/>
      <c r="F34" s="79">
        <v>105</v>
      </c>
      <c r="G34" s="76" t="s">
        <v>1760</v>
      </c>
      <c r="H34" s="76"/>
      <c r="I34" s="72"/>
      <c r="J34" s="88"/>
      <c r="K34" s="88"/>
      <c r="L34" s="88"/>
      <c r="M34" s="72"/>
      <c r="N34" s="72"/>
      <c r="O34" s="72"/>
      <c r="P34" s="72"/>
      <c r="Q34" s="72"/>
      <c r="R34" s="72"/>
      <c r="S34" s="72"/>
      <c r="T34" s="72"/>
      <c r="U34" s="72"/>
      <c r="V34" s="72"/>
      <c r="W34" s="72"/>
      <c r="X34" s="72"/>
      <c r="Y34" s="72"/>
      <c r="Z34" s="72"/>
    </row>
    <row r="35" spans="1:26" ht="15.75" customHeight="1">
      <c r="A35" s="74" t="s">
        <v>1761</v>
      </c>
      <c r="B35" s="77"/>
      <c r="C35" s="407">
        <v>450</v>
      </c>
      <c r="D35" s="407">
        <v>0</v>
      </c>
      <c r="E35" s="409">
        <v>0</v>
      </c>
      <c r="F35" s="79">
        <v>0</v>
      </c>
      <c r="G35" s="76"/>
      <c r="H35" s="76"/>
      <c r="I35" s="72"/>
      <c r="J35" s="72"/>
      <c r="K35" s="72"/>
      <c r="L35" s="72"/>
      <c r="M35" s="72"/>
      <c r="N35" s="72"/>
      <c r="O35" s="72"/>
      <c r="P35" s="72"/>
      <c r="Q35" s="72"/>
      <c r="R35" s="72"/>
      <c r="S35" s="72"/>
      <c r="T35" s="72"/>
      <c r="U35" s="72"/>
      <c r="V35" s="72"/>
      <c r="W35" s="72"/>
      <c r="X35" s="72"/>
      <c r="Y35" s="72"/>
      <c r="Z35" s="72"/>
    </row>
    <row r="36" spans="1:26" ht="15.75" customHeight="1">
      <c r="A36" s="74" t="s">
        <v>1762</v>
      </c>
      <c r="B36" s="77"/>
      <c r="C36" s="409">
        <v>0</v>
      </c>
      <c r="D36" s="409">
        <v>0</v>
      </c>
      <c r="E36" s="409">
        <v>0</v>
      </c>
      <c r="F36" s="79">
        <v>0</v>
      </c>
      <c r="G36" s="76"/>
      <c r="H36" s="76"/>
      <c r="I36" s="72"/>
      <c r="J36" s="72"/>
      <c r="K36" s="72"/>
      <c r="L36" s="72"/>
      <c r="M36" s="72"/>
      <c r="N36" s="72"/>
      <c r="O36" s="72"/>
      <c r="P36" s="72"/>
      <c r="Q36" s="72"/>
      <c r="R36" s="72"/>
      <c r="S36" s="72"/>
      <c r="T36" s="72"/>
      <c r="U36" s="72"/>
      <c r="V36" s="72"/>
      <c r="W36" s="72"/>
      <c r="X36" s="72"/>
      <c r="Y36" s="72"/>
      <c r="Z36" s="72"/>
    </row>
    <row r="37" spans="1:26" ht="15.75" customHeight="1">
      <c r="A37" s="74" t="s">
        <v>1763</v>
      </c>
      <c r="B37" s="72"/>
      <c r="C37" s="75"/>
      <c r="D37" s="75"/>
      <c r="E37" s="78"/>
      <c r="F37" s="79">
        <v>238.4</v>
      </c>
      <c r="G37" s="76" t="s">
        <v>1764</v>
      </c>
      <c r="H37" s="76"/>
      <c r="I37" s="72"/>
      <c r="J37" s="72"/>
      <c r="K37" s="72"/>
      <c r="L37" s="72"/>
      <c r="M37" s="72"/>
      <c r="N37" s="72"/>
      <c r="O37" s="72"/>
      <c r="P37" s="72"/>
      <c r="Q37" s="72"/>
      <c r="R37" s="72"/>
      <c r="S37" s="72"/>
      <c r="T37" s="72"/>
      <c r="U37" s="72"/>
      <c r="V37" s="72"/>
      <c r="W37" s="72"/>
      <c r="X37" s="72"/>
      <c r="Y37" s="72"/>
      <c r="Z37" s="72"/>
    </row>
    <row r="38" spans="1:26" ht="15.75" customHeight="1">
      <c r="A38" s="90" t="s">
        <v>1765</v>
      </c>
      <c r="B38" s="91"/>
      <c r="C38" s="399">
        <f t="shared" ref="C38:F38" si="6">SUM(C28:C37)</f>
      </c>
      <c r="D38" s="399">
        <f t="shared" si="6"/>
      </c>
      <c r="E38" s="399">
        <f t="shared" si="6"/>
      </c>
      <c r="F38" s="400">
        <f t="shared" si="6"/>
      </c>
      <c r="G38" s="76"/>
      <c r="H38" s="76"/>
      <c r="I38" s="72"/>
      <c r="J38" s="72"/>
      <c r="K38" s="72"/>
      <c r="L38" s="72"/>
      <c r="M38" s="72"/>
      <c r="N38" s="72"/>
      <c r="O38" s="72"/>
      <c r="P38" s="72"/>
      <c r="Q38" s="72"/>
      <c r="R38" s="72"/>
      <c r="S38" s="72"/>
      <c r="T38" s="72"/>
      <c r="U38" s="72"/>
      <c r="V38" s="72"/>
      <c r="W38" s="72"/>
      <c r="X38" s="72"/>
      <c r="Y38" s="72"/>
      <c r="Z38" s="72"/>
    </row>
    <row r="39" spans="1:26" ht="15.75" customHeight="1">
      <c r="A39" s="74" t="s">
        <v>814</v>
      </c>
      <c r="B39" s="72"/>
      <c r="C39" s="409">
        <v>3710.4</v>
      </c>
      <c r="D39" s="409">
        <v>5655.2</v>
      </c>
      <c r="E39" s="405">
        <f>'Operations Costs'!D18</f>
      </c>
      <c r="F39" s="724">
        <v>6100</v>
      </c>
      <c r="G39" s="76" t="s">
        <v>1766</v>
      </c>
      <c r="H39" s="76"/>
      <c r="I39" s="72"/>
      <c r="J39" s="72"/>
      <c r="K39" s="72"/>
      <c r="L39" s="72"/>
      <c r="M39" s="72"/>
      <c r="N39" s="72"/>
      <c r="O39" s="72"/>
      <c r="P39" s="72"/>
      <c r="Q39" s="72"/>
      <c r="R39" s="72"/>
      <c r="S39" s="72"/>
      <c r="T39" s="72"/>
      <c r="U39" s="72"/>
      <c r="V39" s="72"/>
      <c r="W39" s="72"/>
      <c r="X39" s="72"/>
      <c r="Y39" s="72"/>
      <c r="Z39" s="72"/>
    </row>
    <row r="40" spans="1:26" ht="15.75" customHeight="1">
      <c r="A40" s="92" t="s">
        <v>1767</v>
      </c>
      <c r="B40" s="93"/>
      <c r="C40" s="401">
        <f>SUM(C11+C12+C13+C22+C27+C28+C29+C30+C33+C35+C36+C39)</f>
      </c>
      <c r="D40" s="418">
        <v>14010.8</v>
      </c>
      <c r="E40" s="401">
        <f t="shared" ref="E40:F40" si="7">E15+E22+E38+E39+E27</f>
      </c>
      <c r="F40" s="402">
        <f t="shared" si="7"/>
      </c>
      <c r="G40" s="76"/>
      <c r="H40" s="76"/>
      <c r="I40" s="72"/>
      <c r="J40" s="72"/>
      <c r="K40" s="72"/>
      <c r="L40" s="72"/>
      <c r="M40" s="72"/>
      <c r="N40" s="72"/>
      <c r="O40" s="72"/>
      <c r="P40" s="72"/>
      <c r="Q40" s="72"/>
      <c r="R40" s="72"/>
      <c r="S40" s="72"/>
      <c r="T40" s="72"/>
      <c r="U40" s="72"/>
      <c r="V40" s="72"/>
      <c r="W40" s="72"/>
      <c r="X40" s="72"/>
      <c r="Y40" s="72"/>
      <c r="Z40" s="72"/>
    </row>
    <row r="41" spans="1:26" ht="15.75" customHeight="1" thickBot="1">
      <c r="A41" s="72"/>
      <c r="B41" s="77"/>
      <c r="C41" s="80"/>
      <c r="D41" s="80"/>
      <c r="E41" s="80"/>
      <c r="F41" s="80"/>
      <c r="G41" s="72"/>
      <c r="H41" s="72"/>
      <c r="I41" s="72"/>
      <c r="J41" s="72"/>
      <c r="K41" s="72"/>
      <c r="L41" s="72"/>
      <c r="M41" s="72"/>
      <c r="N41" s="72"/>
      <c r="O41" s="72"/>
      <c r="P41" s="72"/>
      <c r="Q41" s="72"/>
      <c r="R41" s="72"/>
      <c r="S41" s="72"/>
      <c r="T41" s="72"/>
      <c r="U41" s="72"/>
      <c r="V41" s="72"/>
      <c r="W41" s="72"/>
      <c r="X41" s="72"/>
      <c r="Y41" s="72"/>
      <c r="Z41" s="72"/>
    </row>
    <row r="42" spans="1:26" ht="15.75" customHeight="1" thickTop="1" thickBot="1">
      <c r="A42" s="94" t="s">
        <v>1768</v>
      </c>
      <c r="B42" s="95"/>
      <c r="C42" s="96">
        <f>C8-C40</f>
      </c>
      <c r="D42" s="419">
        <v>-5188.4</v>
      </c>
      <c r="E42" s="96">
        <f t="shared" ref="E42:F42" si="8">E8-E40</f>
      </c>
      <c r="F42" s="96">
        <f t="shared" si="8"/>
      </c>
      <c r="G42" s="72"/>
      <c r="H42" s="72"/>
      <c r="I42" s="72"/>
      <c r="J42" s="72"/>
      <c r="K42" s="72"/>
      <c r="L42" s="72"/>
      <c r="M42" s="72"/>
      <c r="N42" s="72"/>
      <c r="O42" s="72"/>
      <c r="P42" s="72"/>
      <c r="Q42" s="72"/>
      <c r="R42" s="72"/>
      <c r="S42" s="72"/>
      <c r="T42" s="72"/>
      <c r="U42" s="72"/>
      <c r="V42" s="72"/>
      <c r="W42" s="72"/>
      <c r="X42" s="72"/>
      <c r="Y42" s="72"/>
      <c r="Z42" s="72"/>
    </row>
    <row r="43" spans="1:26" ht="15.75" customHeight="1" thickTop="1">
      <c r="A43" s="77"/>
      <c r="B43" s="77"/>
      <c r="C43" s="77"/>
      <c r="D43" s="77"/>
      <c r="E43" s="77"/>
      <c r="F43" s="72"/>
      <c r="G43" s="72"/>
      <c r="H43" s="97"/>
      <c r="I43" s="98"/>
      <c r="J43" s="98"/>
      <c r="K43" s="98"/>
      <c r="L43" s="98"/>
      <c r="M43" s="98"/>
      <c r="N43" s="72"/>
      <c r="O43" s="72"/>
      <c r="P43" s="72"/>
      <c r="Q43" s="72"/>
      <c r="R43" s="72"/>
      <c r="S43" s="72"/>
      <c r="T43" s="72"/>
      <c r="U43" s="72"/>
      <c r="V43" s="72"/>
      <c r="W43" s="72"/>
      <c r="X43" s="72"/>
      <c r="Y43" s="72"/>
      <c r="Z43" s="72"/>
    </row>
    <row r="44" spans="1:26" ht="15.75" customHeight="1">
      <c r="A44" s="99" t="s">
        <v>1769</v>
      </c>
      <c r="B44" s="98"/>
      <c r="C44" s="98"/>
      <c r="D44" s="98"/>
      <c r="E44" s="98"/>
      <c r="F44" s="72"/>
      <c r="G44" s="77"/>
      <c r="H44" s="97"/>
      <c r="I44" s="98"/>
      <c r="J44" s="98"/>
      <c r="K44" s="98"/>
      <c r="L44" s="98"/>
      <c r="M44" s="98"/>
      <c r="N44" s="72"/>
      <c r="O44" s="72"/>
      <c r="P44" s="72"/>
      <c r="Q44" s="72"/>
      <c r="R44" s="72"/>
      <c r="S44" s="72"/>
      <c r="T44" s="72"/>
      <c r="U44" s="72"/>
      <c r="V44" s="72"/>
      <c r="W44" s="72"/>
      <c r="X44" s="72"/>
      <c r="Y44" s="72"/>
      <c r="Z44" s="72"/>
    </row>
    <row r="45" spans="1:26" ht="15.75" customHeight="1">
      <c r="A45" s="100" t="s">
        <v>1770</v>
      </c>
      <c r="B45" s="98"/>
      <c r="C45" s="98"/>
      <c r="D45" s="98"/>
      <c r="E45" s="98"/>
      <c r="F45" s="391">
        <f>F29</f>
      </c>
      <c r="G45" s="77" t="s">
        <v>1771</v>
      </c>
      <c r="H45" s="98"/>
      <c r="I45" s="98"/>
      <c r="J45" s="98"/>
      <c r="K45" s="98"/>
      <c r="L45" s="98"/>
      <c r="M45" s="98"/>
      <c r="N45" s="72"/>
      <c r="O45" s="72"/>
      <c r="P45" s="72"/>
      <c r="Q45" s="72"/>
      <c r="R45" s="72"/>
      <c r="S45" s="72"/>
      <c r="T45" s="72"/>
      <c r="U45" s="72"/>
      <c r="V45" s="72"/>
      <c r="W45" s="72"/>
      <c r="X45" s="72"/>
      <c r="Y45" s="72"/>
      <c r="Z45" s="72"/>
    </row>
    <row r="46" spans="1:26" ht="15.75" customHeight="1">
      <c r="A46" s="100" t="s">
        <v>1772</v>
      </c>
      <c r="B46" s="98"/>
      <c r="C46" s="98"/>
      <c r="D46" s="98"/>
      <c r="E46" s="98"/>
      <c r="F46" s="391">
        <f t="shared" ref="F46:F47" si="9">F33</f>
      </c>
      <c r="G46" s="77" t="s">
        <v>1773</v>
      </c>
      <c r="H46" s="98"/>
      <c r="I46" s="98"/>
      <c r="J46" s="98"/>
      <c r="K46" s="98"/>
      <c r="L46" s="98"/>
      <c r="M46" s="98"/>
      <c r="N46" s="72"/>
      <c r="O46" s="72"/>
      <c r="P46" s="72"/>
      <c r="Q46" s="72"/>
      <c r="R46" s="72"/>
      <c r="S46" s="72"/>
      <c r="T46" s="72"/>
      <c r="U46" s="72"/>
      <c r="V46" s="72"/>
      <c r="W46" s="72"/>
      <c r="X46" s="72"/>
      <c r="Y46" s="72"/>
      <c r="Z46" s="72"/>
    </row>
    <row r="47" spans="1:26" ht="15.75" customHeight="1">
      <c r="A47" s="100" t="s">
        <v>1759</v>
      </c>
      <c r="B47" s="98"/>
      <c r="C47" s="98"/>
      <c r="D47" s="98"/>
      <c r="E47" s="98"/>
      <c r="F47" s="391">
        <f t="shared" si="9"/>
      </c>
      <c r="G47" s="77" t="s">
        <v>1774</v>
      </c>
      <c r="H47" s="98"/>
      <c r="I47" s="98"/>
      <c r="J47" s="98"/>
      <c r="K47" s="98"/>
      <c r="L47" s="98"/>
      <c r="M47" s="98"/>
      <c r="N47" s="72"/>
      <c r="O47" s="72"/>
      <c r="P47" s="72"/>
      <c r="Q47" s="72"/>
      <c r="R47" s="72"/>
      <c r="S47" s="72"/>
      <c r="T47" s="72"/>
      <c r="U47" s="72"/>
      <c r="V47" s="72"/>
      <c r="W47" s="72"/>
      <c r="X47" s="72"/>
      <c r="Y47" s="72"/>
      <c r="Z47" s="72"/>
    </row>
    <row r="48" spans="1:26" ht="15.75" customHeight="1">
      <c r="A48" s="100" t="s">
        <v>1775</v>
      </c>
      <c r="B48" s="98"/>
      <c r="C48" s="98"/>
      <c r="D48" s="98"/>
      <c r="E48" s="98"/>
      <c r="F48" s="391">
        <f>10*50</f>
      </c>
      <c r="G48" s="72" t="s">
        <v>1776</v>
      </c>
      <c r="H48" s="98"/>
      <c r="I48" s="98"/>
      <c r="J48" s="98"/>
      <c r="K48" s="98"/>
      <c r="L48" s="98"/>
      <c r="M48" s="98"/>
      <c r="N48" s="72"/>
      <c r="O48" s="72"/>
      <c r="P48" s="72"/>
      <c r="Q48" s="72"/>
      <c r="R48" s="72"/>
      <c r="S48" s="72"/>
      <c r="T48" s="72"/>
      <c r="U48" s="72"/>
      <c r="V48" s="72"/>
      <c r="W48" s="72"/>
      <c r="X48" s="72"/>
      <c r="Y48" s="72"/>
      <c r="Z48" s="72"/>
    </row>
    <row r="49" spans="1:26" ht="15.75" customHeight="1">
      <c r="A49" s="100" t="s">
        <v>1777</v>
      </c>
      <c r="B49" s="98"/>
      <c r="C49" s="98"/>
      <c r="D49" s="98"/>
      <c r="E49" s="98"/>
      <c r="F49" s="406">
        <f>'Operations Costs'!G28</f>
      </c>
      <c r="G49" s="72" t="s">
        <v>1778</v>
      </c>
      <c r="H49" s="98"/>
      <c r="I49" s="98"/>
      <c r="J49" s="98"/>
      <c r="K49" s="98"/>
      <c r="L49" s="98"/>
      <c r="M49" s="98"/>
      <c r="N49" s="72"/>
      <c r="O49" s="72"/>
      <c r="P49" s="72"/>
      <c r="Q49" s="72"/>
      <c r="R49" s="72"/>
      <c r="S49" s="72"/>
      <c r="T49" s="72"/>
      <c r="U49" s="72"/>
      <c r="V49" s="72"/>
      <c r="W49" s="72"/>
      <c r="X49" s="72"/>
      <c r="Y49" s="72"/>
      <c r="Z49" s="72"/>
    </row>
    <row r="50" spans="1:26" ht="15.75" customHeight="1">
      <c r="A50" s="100" t="s">
        <v>1741</v>
      </c>
      <c r="B50" s="98"/>
      <c r="C50" s="98"/>
      <c r="D50" s="98"/>
      <c r="E50" s="98"/>
      <c r="F50" s="420">
        <v>-450</v>
      </c>
      <c r="G50" s="72" t="s">
        <v>1779</v>
      </c>
      <c r="H50" s="98"/>
      <c r="I50" s="98"/>
      <c r="J50" s="98"/>
      <c r="K50" s="98"/>
      <c r="L50" s="98"/>
      <c r="M50" s="98"/>
      <c r="N50" s="72"/>
      <c r="O50" s="72"/>
      <c r="P50" s="72"/>
      <c r="Q50" s="72"/>
      <c r="R50" s="72"/>
      <c r="S50" s="72"/>
      <c r="T50" s="72"/>
      <c r="U50" s="72"/>
      <c r="V50" s="72"/>
      <c r="W50" s="72"/>
      <c r="X50" s="72"/>
      <c r="Y50" s="72"/>
      <c r="Z50" s="72"/>
    </row>
    <row r="51" spans="1:26" ht="15.75" customHeight="1">
      <c r="A51" s="102" t="s">
        <v>1780</v>
      </c>
      <c r="B51" s="98"/>
      <c r="C51" s="98"/>
      <c r="D51" s="98"/>
      <c r="E51" s="98"/>
      <c r="F51" s="101"/>
      <c r="G51" s="72"/>
      <c r="H51" s="98"/>
      <c r="I51" s="98"/>
      <c r="J51" s="98"/>
      <c r="K51" s="98"/>
      <c r="L51" s="98"/>
      <c r="M51" s="98"/>
      <c r="N51" s="72"/>
      <c r="O51" s="72"/>
      <c r="P51" s="72"/>
      <c r="Q51" s="72"/>
      <c r="R51" s="72"/>
      <c r="S51" s="72"/>
      <c r="T51" s="72"/>
      <c r="U51" s="72"/>
      <c r="V51" s="72"/>
      <c r="W51" s="72"/>
      <c r="X51" s="72"/>
      <c r="Y51" s="72"/>
      <c r="Z51" s="72"/>
    </row>
    <row r="52" spans="1:26" ht="15.75" customHeight="1">
      <c r="A52" s="91" t="s">
        <v>621</v>
      </c>
      <c r="B52" s="72"/>
      <c r="C52" s="72"/>
      <c r="D52" s="72"/>
      <c r="E52" s="72"/>
      <c r="F52" s="403">
        <f>SUM(F45:F51)</f>
      </c>
      <c r="G52" s="72"/>
      <c r="H52" s="98"/>
      <c r="I52" s="98"/>
      <c r="J52" s="98"/>
      <c r="K52" s="98"/>
      <c r="L52" s="98"/>
      <c r="M52" s="98"/>
      <c r="N52" s="72"/>
      <c r="O52" s="72"/>
      <c r="P52" s="72"/>
      <c r="Q52" s="72"/>
      <c r="R52" s="72"/>
      <c r="S52" s="72"/>
      <c r="T52" s="72"/>
      <c r="U52" s="72"/>
      <c r="V52" s="72"/>
      <c r="W52" s="72"/>
      <c r="X52" s="72"/>
      <c r="Y52" s="72"/>
      <c r="Z52" s="72"/>
    </row>
    <row r="53" spans="1:26" ht="15.75" customHeight="1">
      <c r="A53" s="72"/>
      <c r="B53" s="72"/>
      <c r="C53" s="72"/>
      <c r="D53" s="72"/>
      <c r="E53" s="72"/>
      <c r="F53" s="77"/>
      <c r="G53" s="72"/>
      <c r="H53" s="98"/>
      <c r="I53" s="98"/>
      <c r="J53" s="98"/>
      <c r="K53" s="98"/>
      <c r="L53" s="98"/>
      <c r="M53" s="98"/>
      <c r="N53" s="72"/>
      <c r="O53" s="72"/>
      <c r="P53" s="72"/>
      <c r="Q53" s="72"/>
      <c r="R53" s="72"/>
      <c r="S53" s="72"/>
      <c r="T53" s="72"/>
      <c r="U53" s="72"/>
      <c r="V53" s="72"/>
      <c r="W53" s="72"/>
      <c r="X53" s="72"/>
      <c r="Y53" s="72"/>
      <c r="Z53" s="72"/>
    </row>
    <row r="54" spans="1:26" ht="15.75" customHeight="1">
      <c r="A54" s="103" t="s">
        <v>1781</v>
      </c>
      <c r="B54" s="72"/>
      <c r="C54" s="77"/>
      <c r="D54" s="72"/>
      <c r="E54" s="72"/>
      <c r="F54" s="77"/>
      <c r="G54" s="72"/>
      <c r="H54" s="98"/>
      <c r="I54" s="98"/>
      <c r="J54" s="98"/>
      <c r="K54" s="98"/>
      <c r="L54" s="98"/>
      <c r="M54" s="98"/>
      <c r="N54" s="72"/>
      <c r="O54" s="72"/>
      <c r="P54" s="72"/>
      <c r="Q54" s="72"/>
      <c r="R54" s="72"/>
      <c r="S54" s="72"/>
      <c r="T54" s="72"/>
      <c r="U54" s="72"/>
      <c r="V54" s="72"/>
      <c r="W54" s="72"/>
      <c r="X54" s="72"/>
      <c r="Y54" s="72"/>
      <c r="Z54" s="72"/>
    </row>
    <row r="55" spans="1:26" ht="15.75" customHeight="1">
      <c r="A55" s="77"/>
      <c r="B55" s="104" t="s">
        <v>1782</v>
      </c>
      <c r="C55" s="77"/>
      <c r="D55" s="72"/>
      <c r="E55" s="72"/>
      <c r="F55" s="77"/>
      <c r="G55" s="72"/>
      <c r="H55" s="98"/>
      <c r="I55" s="98"/>
      <c r="J55" s="98"/>
      <c r="K55" s="98"/>
      <c r="L55" s="98"/>
      <c r="M55" s="98"/>
      <c r="N55" s="72"/>
      <c r="O55" s="72"/>
      <c r="P55" s="72"/>
      <c r="Q55" s="72"/>
      <c r="R55" s="72"/>
      <c r="S55" s="72"/>
      <c r="T55" s="72"/>
      <c r="U55" s="72"/>
      <c r="V55" s="72"/>
      <c r="W55" s="72"/>
      <c r="X55" s="72"/>
      <c r="Y55" s="72"/>
      <c r="Z55" s="72"/>
    </row>
    <row r="56" spans="1:26" ht="15.75" customHeight="1">
      <c r="A56" s="77"/>
      <c r="B56" s="72" t="s">
        <v>1783</v>
      </c>
      <c r="C56" s="77"/>
      <c r="D56" s="72"/>
      <c r="E56" s="72"/>
      <c r="F56" s="77"/>
      <c r="G56" s="72"/>
      <c r="H56" s="98"/>
      <c r="I56" s="98"/>
      <c r="J56" s="98"/>
      <c r="K56" s="98"/>
      <c r="L56" s="98"/>
      <c r="M56" s="98"/>
      <c r="N56" s="72"/>
      <c r="O56" s="72"/>
      <c r="P56" s="72"/>
      <c r="Q56" s="72"/>
      <c r="R56" s="72"/>
      <c r="S56" s="72"/>
      <c r="T56" s="72"/>
      <c r="U56" s="72"/>
      <c r="V56" s="72"/>
      <c r="W56" s="72"/>
      <c r="X56" s="72"/>
      <c r="Y56" s="72"/>
      <c r="Z56" s="72"/>
    </row>
    <row r="57" spans="1:26" ht="15.75" customHeight="1">
      <c r="A57" s="77"/>
      <c r="B57" s="72" t="s">
        <v>1784</v>
      </c>
      <c r="C57" s="77"/>
      <c r="D57" s="72"/>
      <c r="E57" s="72"/>
      <c r="F57" s="77"/>
      <c r="G57" s="72"/>
      <c r="H57" s="98"/>
      <c r="I57" s="98"/>
      <c r="J57" s="98"/>
      <c r="K57" s="98"/>
      <c r="L57" s="98"/>
      <c r="M57" s="98"/>
      <c r="N57" s="72"/>
      <c r="O57" s="72"/>
      <c r="P57" s="72"/>
      <c r="Q57" s="72"/>
      <c r="R57" s="72"/>
      <c r="S57" s="72"/>
      <c r="T57" s="72"/>
      <c r="U57" s="72"/>
      <c r="V57" s="72"/>
      <c r="W57" s="72"/>
      <c r="X57" s="72"/>
      <c r="Y57" s="72"/>
      <c r="Z57" s="72"/>
    </row>
    <row r="58" spans="1:26" ht="15.75" customHeight="1">
      <c r="A58" s="77"/>
      <c r="B58" s="97" t="s">
        <v>1785</v>
      </c>
      <c r="C58" s="77"/>
      <c r="D58" s="72"/>
      <c r="E58" s="98" t="s">
        <v>1786</v>
      </c>
      <c r="F58" s="77"/>
      <c r="G58" s="72"/>
      <c r="H58" s="98"/>
      <c r="I58" s="98"/>
      <c r="J58" s="98"/>
      <c r="K58" s="98"/>
      <c r="L58" s="98"/>
      <c r="M58" s="98"/>
      <c r="N58" s="72"/>
      <c r="O58" s="72"/>
      <c r="P58" s="72"/>
      <c r="Q58" s="72"/>
      <c r="R58" s="72"/>
      <c r="S58" s="72"/>
      <c r="T58" s="72"/>
      <c r="U58" s="72"/>
      <c r="V58" s="72"/>
      <c r="W58" s="72"/>
      <c r="X58" s="72"/>
      <c r="Y58" s="72"/>
      <c r="Z58" s="72"/>
    </row>
    <row r="59" spans="1:26" ht="15.75" customHeight="1">
      <c r="A59" s="77"/>
      <c r="B59" s="97" t="s">
        <v>1787</v>
      </c>
      <c r="C59" s="77"/>
      <c r="D59" s="72"/>
      <c r="E59" s="98" t="s">
        <v>1786</v>
      </c>
      <c r="F59" s="77"/>
      <c r="G59" s="72"/>
      <c r="H59" s="98"/>
      <c r="I59" s="98"/>
      <c r="J59" s="98"/>
      <c r="K59" s="98"/>
      <c r="L59" s="98"/>
      <c r="M59" s="98"/>
      <c r="N59" s="72"/>
      <c r="O59" s="72"/>
      <c r="P59" s="72"/>
      <c r="Q59" s="72"/>
      <c r="R59" s="72"/>
      <c r="S59" s="72"/>
      <c r="T59" s="72"/>
      <c r="U59" s="72"/>
      <c r="V59" s="72"/>
      <c r="W59" s="72"/>
      <c r="X59" s="72"/>
      <c r="Y59" s="72"/>
      <c r="Z59" s="72"/>
    </row>
    <row r="60" spans="1:26" ht="15.75" customHeight="1">
      <c r="A60" s="77"/>
      <c r="B60" s="97" t="s">
        <v>1788</v>
      </c>
      <c r="C60" s="77"/>
      <c r="D60" s="72"/>
      <c r="E60" s="98" t="s">
        <v>1786</v>
      </c>
      <c r="F60" s="77"/>
      <c r="G60" s="72"/>
      <c r="H60" s="77"/>
      <c r="I60" s="77"/>
      <c r="J60" s="77"/>
      <c r="K60" s="77"/>
      <c r="L60" s="77"/>
      <c r="M60" s="77"/>
      <c r="N60" s="72"/>
      <c r="O60" s="72"/>
      <c r="P60" s="72"/>
      <c r="Q60" s="72"/>
      <c r="R60" s="72"/>
      <c r="S60" s="72"/>
      <c r="T60" s="72"/>
      <c r="U60" s="72"/>
      <c r="V60" s="72"/>
      <c r="W60" s="72"/>
      <c r="X60" s="72"/>
      <c r="Y60" s="72"/>
      <c r="Z60" s="72"/>
    </row>
    <row r="61" spans="1:26" ht="15.75" customHeight="1">
      <c r="A61" s="77"/>
      <c r="B61" s="77"/>
      <c r="C61" s="77"/>
      <c r="D61" s="77"/>
      <c r="E61" s="77"/>
      <c r="F61" s="77"/>
      <c r="G61" s="72"/>
      <c r="H61" s="72"/>
      <c r="I61" s="72"/>
      <c r="J61" s="72"/>
      <c r="K61" s="72"/>
      <c r="L61" s="72"/>
      <c r="M61" s="72"/>
      <c r="N61" s="72"/>
      <c r="O61" s="72"/>
      <c r="P61" s="72"/>
      <c r="Q61" s="72"/>
      <c r="R61" s="72"/>
      <c r="S61" s="72"/>
      <c r="T61" s="72"/>
      <c r="U61" s="72"/>
      <c r="V61" s="72"/>
      <c r="W61" s="72"/>
      <c r="X61" s="72"/>
      <c r="Y61" s="72"/>
      <c r="Z61" s="72"/>
    </row>
    <row r="62" spans="1:26" ht="15.75" customHeight="1">
      <c r="A62" s="105" t="s">
        <v>1789</v>
      </c>
      <c r="B62" s="106" t="s">
        <v>1790</v>
      </c>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5.75" customHeight="1">
      <c r="A63" s="107" t="s">
        <v>1791</v>
      </c>
      <c r="B63" s="407">
        <v>4</v>
      </c>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5.75" customHeight="1">
      <c r="A64" s="107" t="s">
        <v>1792</v>
      </c>
      <c r="B64" s="407">
        <v>22</v>
      </c>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5.75" customHeight="1">
      <c r="A65" s="107" t="s">
        <v>1793</v>
      </c>
      <c r="B65" s="407">
        <v>3</v>
      </c>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5.75" customHeight="1">
      <c r="A66" s="107" t="s">
        <v>1794</v>
      </c>
      <c r="B66" s="407">
        <v>12</v>
      </c>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5.75" customHeight="1">
      <c r="A67" s="107" t="s">
        <v>1795</v>
      </c>
      <c r="B67" s="407">
        <v>30</v>
      </c>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5.75" customHeight="1">
      <c r="A68" s="107" t="s">
        <v>1796</v>
      </c>
      <c r="B68" s="421">
        <v>25</v>
      </c>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5.75" customHeight="1">
      <c r="A69" s="72" t="s">
        <v>1797</v>
      </c>
      <c r="B69" s="421">
        <v>55</v>
      </c>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5.75" customHeight="1">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5.75" customHeight="1">
      <c r="A71" s="72"/>
      <c r="B71" s="106" t="s">
        <v>1790</v>
      </c>
      <c r="C71" s="106" t="s">
        <v>1798</v>
      </c>
      <c r="D71" s="72"/>
      <c r="E71" s="72"/>
      <c r="F71" s="72"/>
      <c r="G71" s="72"/>
      <c r="H71" s="72"/>
      <c r="I71" s="72"/>
      <c r="J71" s="72"/>
      <c r="K71" s="72"/>
      <c r="L71" s="72"/>
      <c r="M71" s="72"/>
      <c r="N71" s="72"/>
      <c r="O71" s="72"/>
      <c r="P71" s="72"/>
      <c r="Q71" s="72"/>
      <c r="R71" s="72"/>
      <c r="S71" s="72"/>
      <c r="T71" s="72"/>
      <c r="U71" s="72"/>
      <c r="V71" s="72"/>
      <c r="W71" s="72"/>
      <c r="X71" s="72"/>
      <c r="Y71" s="72"/>
      <c r="Z71" s="72"/>
    </row>
    <row r="72" spans="1:26" ht="15.75" customHeight="1">
      <c r="A72" s="107" t="s">
        <v>1799</v>
      </c>
      <c r="B72" s="407">
        <v>2.5</v>
      </c>
      <c r="C72" s="407">
        <v>19.5</v>
      </c>
      <c r="D72" s="72"/>
      <c r="E72" s="72"/>
      <c r="F72" s="72"/>
      <c r="G72" s="72"/>
      <c r="H72" s="72"/>
      <c r="I72" s="72"/>
      <c r="J72" s="72"/>
      <c r="K72" s="72"/>
      <c r="L72" s="72"/>
      <c r="M72" s="72"/>
      <c r="N72" s="72"/>
      <c r="O72" s="72"/>
      <c r="P72" s="72"/>
      <c r="Q72" s="72"/>
      <c r="R72" s="72"/>
      <c r="S72" s="72"/>
      <c r="T72" s="72"/>
      <c r="U72" s="72"/>
      <c r="V72" s="72"/>
      <c r="W72" s="72"/>
      <c r="X72" s="72"/>
      <c r="Y72" s="72"/>
      <c r="Z72" s="72"/>
    </row>
    <row r="73" spans="1:26" ht="15.75" customHeight="1">
      <c r="A73" s="107" t="s">
        <v>1800</v>
      </c>
      <c r="B73" s="407">
        <v>1</v>
      </c>
      <c r="C73" s="422">
        <v>4.25</v>
      </c>
      <c r="D73" s="72"/>
      <c r="E73" s="72"/>
      <c r="F73" s="72"/>
      <c r="G73" s="72"/>
      <c r="H73" s="72"/>
      <c r="I73" s="72"/>
      <c r="J73" s="72"/>
      <c r="K73" s="72"/>
      <c r="L73" s="72"/>
      <c r="M73" s="72"/>
      <c r="N73" s="72"/>
      <c r="O73" s="72"/>
      <c r="P73" s="72"/>
      <c r="Q73" s="72"/>
      <c r="R73" s="72"/>
      <c r="S73" s="72"/>
      <c r="T73" s="72"/>
      <c r="U73" s="72"/>
      <c r="V73" s="72"/>
      <c r="W73" s="72"/>
      <c r="X73" s="72"/>
      <c r="Y73" s="72"/>
      <c r="Z73" s="72"/>
    </row>
    <row r="74" spans="1:26" ht="15.75" customHeight="1">
      <c r="A74" s="107" t="s">
        <v>1801</v>
      </c>
      <c r="B74" s="407">
        <v>1</v>
      </c>
      <c r="C74" s="422">
        <v>13.5</v>
      </c>
      <c r="D74" s="72"/>
      <c r="E74" s="72"/>
      <c r="F74" s="72"/>
      <c r="G74" s="72"/>
      <c r="H74" s="72"/>
      <c r="I74" s="72"/>
      <c r="J74" s="72"/>
      <c r="K74" s="72"/>
      <c r="L74" s="72"/>
      <c r="M74" s="72"/>
      <c r="N74" s="72"/>
      <c r="O74" s="72"/>
      <c r="P74" s="72"/>
      <c r="Q74" s="72"/>
      <c r="R74" s="72"/>
      <c r="S74" s="72"/>
      <c r="T74" s="72"/>
      <c r="U74" s="72"/>
      <c r="V74" s="72"/>
      <c r="W74" s="72"/>
      <c r="X74" s="72"/>
      <c r="Y74" s="72"/>
      <c r="Z74" s="72"/>
    </row>
    <row r="75" spans="1:26" ht="15.75" customHeight="1">
      <c r="A75" s="107" t="s">
        <v>1802</v>
      </c>
      <c r="B75" s="407">
        <v>1</v>
      </c>
      <c r="C75" s="422">
        <v>13.5</v>
      </c>
      <c r="D75" s="72"/>
      <c r="E75" s="72"/>
      <c r="F75" s="72"/>
      <c r="G75" s="72"/>
      <c r="H75" s="72"/>
      <c r="I75" s="72"/>
      <c r="J75" s="72"/>
      <c r="K75" s="72"/>
      <c r="L75" s="72"/>
      <c r="M75" s="72"/>
      <c r="N75" s="72"/>
      <c r="O75" s="72"/>
      <c r="P75" s="72"/>
      <c r="Q75" s="72"/>
      <c r="R75" s="72"/>
      <c r="S75" s="72"/>
      <c r="T75" s="72"/>
      <c r="U75" s="72"/>
      <c r="V75" s="72"/>
      <c r="W75" s="72"/>
      <c r="X75" s="72"/>
      <c r="Y75" s="72"/>
      <c r="Z75" s="72"/>
    </row>
    <row r="76" spans="1:26" ht="15.75" customHeight="1">
      <c r="A76" s="107" t="s">
        <v>1803</v>
      </c>
      <c r="B76" s="407">
        <v>1</v>
      </c>
      <c r="C76" s="422">
        <v>8.75</v>
      </c>
      <c r="D76" s="72"/>
      <c r="E76" s="72"/>
      <c r="F76" s="72"/>
      <c r="G76" s="72"/>
      <c r="H76" s="72"/>
      <c r="I76" s="72"/>
      <c r="J76" s="72"/>
      <c r="K76" s="72"/>
      <c r="L76" s="72"/>
      <c r="M76" s="72"/>
      <c r="N76" s="72"/>
      <c r="O76" s="72"/>
      <c r="P76" s="72"/>
      <c r="Q76" s="72"/>
      <c r="R76" s="72"/>
      <c r="S76" s="72"/>
      <c r="T76" s="72"/>
      <c r="U76" s="72"/>
      <c r="V76" s="72"/>
      <c r="W76" s="72"/>
      <c r="X76" s="72"/>
      <c r="Y76" s="72"/>
      <c r="Z76" s="72"/>
    </row>
    <row r="77" spans="1:26" ht="15.75" customHeight="1">
      <c r="A77" s="107" t="s">
        <v>1804</v>
      </c>
      <c r="B77" s="407">
        <v>1</v>
      </c>
      <c r="C77" s="422">
        <v>9.5</v>
      </c>
      <c r="D77" s="72"/>
      <c r="E77" s="72"/>
      <c r="F77" s="72"/>
      <c r="G77" s="72"/>
      <c r="H77" s="72"/>
      <c r="I77" s="72"/>
      <c r="J77" s="72"/>
      <c r="K77" s="72"/>
      <c r="L77" s="72"/>
      <c r="M77" s="72"/>
      <c r="N77" s="72"/>
      <c r="O77" s="72"/>
      <c r="P77" s="72"/>
      <c r="Q77" s="72"/>
      <c r="R77" s="72"/>
      <c r="S77" s="72"/>
      <c r="T77" s="72"/>
      <c r="U77" s="72"/>
      <c r="V77" s="72"/>
      <c r="W77" s="72"/>
      <c r="X77" s="72"/>
      <c r="Y77" s="72"/>
      <c r="Z77" s="72"/>
    </row>
    <row r="78" spans="1:26" ht="15.75" customHeight="1">
      <c r="A78" s="107" t="s">
        <v>1805</v>
      </c>
      <c r="B78" s="407">
        <v>1</v>
      </c>
      <c r="C78" s="422">
        <v>7.5</v>
      </c>
      <c r="D78" s="72"/>
      <c r="E78" s="72"/>
      <c r="F78" s="72"/>
      <c r="G78" s="72"/>
      <c r="H78" s="72"/>
      <c r="I78" s="72"/>
      <c r="J78" s="72"/>
      <c r="K78" s="72"/>
      <c r="L78" s="72"/>
      <c r="M78" s="72"/>
      <c r="N78" s="72"/>
      <c r="O78" s="72"/>
      <c r="P78" s="72"/>
      <c r="Q78" s="72"/>
      <c r="R78" s="72"/>
      <c r="S78" s="72"/>
      <c r="T78" s="72"/>
      <c r="U78" s="72"/>
      <c r="V78" s="72"/>
      <c r="W78" s="72"/>
      <c r="X78" s="72"/>
      <c r="Y78" s="72"/>
      <c r="Z78" s="72"/>
    </row>
    <row r="79" spans="1:26" ht="15.75" customHeight="1">
      <c r="A79" s="107" t="s">
        <v>1806</v>
      </c>
      <c r="B79" s="407">
        <v>1</v>
      </c>
      <c r="C79" s="422">
        <v>14.5</v>
      </c>
      <c r="D79" s="72"/>
      <c r="E79" s="72"/>
      <c r="F79" s="72"/>
      <c r="G79" s="72"/>
      <c r="H79" s="72"/>
      <c r="I79" s="72"/>
      <c r="J79" s="72"/>
      <c r="K79" s="72"/>
      <c r="L79" s="72"/>
      <c r="M79" s="72"/>
      <c r="N79" s="72"/>
      <c r="O79" s="72"/>
      <c r="P79" s="72"/>
      <c r="Q79" s="72"/>
      <c r="R79" s="72"/>
      <c r="S79" s="72"/>
      <c r="T79" s="72"/>
      <c r="U79" s="72"/>
      <c r="V79" s="72"/>
      <c r="W79" s="72"/>
      <c r="X79" s="72"/>
      <c r="Y79" s="72"/>
      <c r="Z79" s="72"/>
    </row>
    <row r="80" spans="1:26" ht="15.75" customHeight="1">
      <c r="A80" s="107" t="s">
        <v>1807</v>
      </c>
      <c r="B80" s="72" t="s">
        <v>1808</v>
      </c>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5.75" customHeight="1">
      <c r="A81" s="107" t="s">
        <v>1809</v>
      </c>
      <c r="B81" s="407">
        <v>2.5</v>
      </c>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5.75" customHeight="1">
      <c r="A82" s="107" t="s">
        <v>1810</v>
      </c>
      <c r="B82" s="407">
        <v>6</v>
      </c>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5.75" customHeight="1">
      <c r="A83" s="107" t="s">
        <v>1811</v>
      </c>
      <c r="B83" s="407">
        <v>1</v>
      </c>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5.75" customHeight="1">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5.75" customHeight="1">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5.75" customHeight="1">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5.75" customHeight="1">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5.75" customHeight="1">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5.75" customHeight="1">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5.75" customHeight="1">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5.75" customHeight="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5.75" customHeight="1">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5.75" customHeight="1">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5.75" customHeight="1">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5.75" customHeight="1">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5.75" customHeight="1">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5.75" customHeight="1">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5.75" customHeight="1">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5.75" customHeight="1">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5.75" customHeight="1">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5.75" customHeight="1"/>
    <row r="102" spans="1:26" ht="15.75" customHeight="1"/>
    <row r="103" spans="1:26" ht="15.75" customHeight="1"/>
    <row r="104" spans="1:26" ht="15.75" customHeight="1"/>
    <row r="105" spans="1:26" ht="15.75" customHeight="1"/>
    <row r="106" spans="1:26" ht="15.75" customHeight="1"/>
    <row r="107" spans="1:26" ht="15.75" customHeight="1"/>
    <row r="108" spans="1:26" ht="15.75" customHeight="1"/>
    <row r="109" spans="1:26" ht="15.75" customHeight="1"/>
    <row r="110" spans="1:26" ht="15.75" customHeight="1"/>
    <row r="111" spans="1:26" ht="15.75" customHeight="1"/>
    <row r="112" spans="1:26"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4.4"/>
    <row r="999" ht="14.4"/>
    <row r="1000" ht="14.4"/>
    <row r="1001" ht="15.75" customHeight="1"/>
    <row r="1002" ht="15.75" customHeight="1"/>
  </sheetData>
  <pageMargins left="0.7" right="0.7" top="0.75" bottom="0.75" header="0" footer="0"/>
  <pageSetup orientation="landscape"/>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E92DC-9241-4315-B984-772D33B5B55D}">
  <sheetPr>
    <tabColor rgb="FF9DC3E6"/>
  </sheetPr>
  <dimension ref="A1:K56"/>
  <sheetViews>
    <sheetView workbookViewId="0">
      <selection activeCell="C27" sqref="C27"/>
    </sheetView>
  </sheetViews>
  <sheetFormatPr defaultRowHeight="14.4"/>
  <cols>
    <col min="1" max="1" width="33.33203125" customWidth="1"/>
    <col min="2" max="8" width="18.5546875" customWidth="1"/>
    <col min="9" max="9" width="46.5546875" bestFit="1" customWidth="1"/>
    <col min="10" max="10" width="3.6640625" customWidth="1"/>
    <col min="11" max="11" width="15" bestFit="1" customWidth="1"/>
  </cols>
  <sheetData>
    <row r="1" spans="1:11" ht="21">
      <c r="A1" s="859" t="s">
        <v>1812</v>
      </c>
      <c r="B1" s="859"/>
      <c r="C1" s="860"/>
      <c r="D1" s="860"/>
      <c r="E1" s="860"/>
      <c r="F1" s="860"/>
      <c r="G1" s="860"/>
      <c r="H1" s="860"/>
    </row>
    <row r="2" spans="1:11">
      <c r="A2" s="805" t="s">
        <v>1813</v>
      </c>
    </row>
    <row r="3" spans="1:11">
      <c r="A3" s="857" t="s">
        <v>1814</v>
      </c>
      <c r="B3" s="858"/>
      <c r="C3" s="858"/>
      <c r="D3" s="858"/>
      <c r="E3" s="858"/>
      <c r="F3" s="858"/>
      <c r="G3" s="858"/>
      <c r="H3" s="858"/>
    </row>
    <row r="5" spans="1:11">
      <c r="A5" s="855" t="s">
        <v>1815</v>
      </c>
      <c r="B5" s="856"/>
      <c r="C5" s="856"/>
      <c r="D5" s="856"/>
      <c r="E5" s="856" t="s">
        <v>1816</v>
      </c>
      <c r="F5" s="856"/>
      <c r="G5" s="856"/>
      <c r="H5" s="727"/>
      <c r="I5" s="726" t="s">
        <v>1817</v>
      </c>
      <c r="J5" s="727"/>
      <c r="K5" s="727"/>
    </row>
    <row r="6" spans="1:11">
      <c r="A6" s="610" t="s">
        <v>1818</v>
      </c>
      <c r="B6" s="747">
        <v>3</v>
      </c>
      <c r="C6" s="610" t="s">
        <v>1819</v>
      </c>
      <c r="D6" s="610" t="s">
        <v>1820</v>
      </c>
      <c r="E6" t="inlineStr">
        <is>
          <t>Hotel nights, Wed to Sat (shared room)</t>
        </is>
      </c>
      <c r="F6" s="610"/>
      <c r="G6" s="610"/>
      <c r="H6" s="748">
        <v>4</v>
      </c>
      <c r="I6" s="610" t="s">
        <v>1821</v>
      </c>
      <c r="K6" s="752">
        <v>4</v>
      </c>
    </row>
    <row r="7" spans="1:11">
      <c r="A7" t="s">
        <v>1822</v>
      </c>
      <c r="B7" s="611">
        <f>B6-1</f>
      </c>
      <c r="C7" s="425">
        <v>1</v>
      </c>
      <c r="D7" s="425">
        <v>0</v>
      </c>
      <c r="E7" t="inlineStr">
        <is>
          <t>Per diem days (Wed to Sat)</t>
        </is>
      </c>
      <c r="F7" s="291"/>
      <c r="H7" s="748">
        <v>4</v>
      </c>
      <c r="I7" t="s">
        <v>1823</v>
      </c>
      <c r="K7" s="612">
        <f>MAX('Format Engine'!H14:H17)</f>
      </c>
    </row>
    <row r="8" spans="1:11">
      <c r="A8" t="s">
        <v>1824</v>
      </c>
      <c r="B8" s="748">
        <v>125</v>
      </c>
      <c r="C8" s="425">
        <v>1</v>
      </c>
      <c r="D8" s="425">
        <v>760</v>
      </c>
      <c r="E8" t="inlineStr">
        <is>
          <t>Car rental Wed to Sun $/pair</t>
        </is>
      </c>
      <c r="F8" s="291"/>
      <c r="H8" s="748">
        <v>330</v>
      </c>
      <c r="I8" t="s">
        <v>1825</v>
      </c>
      <c r="K8" s="613">
        <f>CEILING(K7/K6,1)</f>
      </c>
    </row>
    <row r="9" spans="1:11">
      <c r="A9" t="s">
        <v>1826</v>
      </c>
      <c r="B9" s="748">
        <v>60</v>
      </c>
      <c r="C9" s="425">
        <v>1</v>
      </c>
      <c r="D9" s="425">
        <v>110</v>
      </c>
      <c r="E9" t="s">
        <v>1827</v>
      </c>
      <c r="F9" s="291"/>
      <c r="H9" s="748">
        <v>150</v>
      </c>
      <c r="I9" t="s">
        <v>1828</v>
      </c>
      <c r="K9" s="612">
        <f>ROUNDDOWN((COUNTA('Referees Master'!B4:B13)-COUNTIF('Referees Master'!B4:B13,"*TBD*"))/2,0)</f>
      </c>
    </row>
    <row r="10" spans="1:11">
      <c r="A10" t="s">
        <v>1829</v>
      </c>
      <c r="B10" s="748">
        <v>330</v>
      </c>
      <c r="C10" s="425">
        <v>1.5</v>
      </c>
      <c r="D10" s="425">
        <v>260</v>
      </c>
      <c r="E10" t="s">
        <v>1830</v>
      </c>
      <c r="F10" s="291"/>
      <c r="H10" s="748">
        <v>190</v>
      </c>
      <c r="I10" t="s">
        <v>1831</v>
      </c>
      <c r="K10" s="238">
        <f>IF(K9&gt;=K8,"✓ Enough pairs","⚠ short "&amp;(K8-K9)&amp;" pair(s)")</f>
      </c>
    </row>
    <row r="11" spans="1:11">
      <c r="A11" t="s">
        <v>1832</v>
      </c>
      <c r="B11" s="748">
        <v>900</v>
      </c>
      <c r="C11" s="425">
        <v>3</v>
      </c>
      <c r="D11" s="425">
        <v>180</v>
      </c>
      <c r="E11" s="425"/>
      <c r="F11" s="291"/>
      <c r="I11" s="614" t="s">
        <v>1833</v>
      </c>
    </row>
    <row r="12" spans="1:11">
      <c r="A12" s="238" t="s">
        <v>1834</v>
      </c>
      <c r="B12" s="749">
        <v>75</v>
      </c>
      <c r="C12" s="292"/>
      <c r="D12" s="423">
        <f>SUM(D7:D11)</f>
      </c>
      <c r="E12" s="423"/>
      <c r="F12" s="292"/>
      <c r="G12" s="238"/>
      <c r="I12" t="s">
        <v>1835</v>
      </c>
      <c r="K12" s="624">
        <f>MAX('Games Schedule'!$B$5:$B$31)-MIN('Games Schedule'!$B$5:$B$31)+1</f>
      </c>
    </row>
    <row r="13" spans="1:11">
      <c r="A13" t="s">
        <v>1836</v>
      </c>
      <c r="B13" s="750">
        <v>165</v>
      </c>
      <c r="C13" s="618"/>
      <c r="I13" s="625">
        <f>IF(K12=B6,"✓ refs cover all game days",IF(K12=B6+1,"✓ Thu-eve opener (local pair)","⚠ "&amp;K12&amp;" days vs "&amp;B6&amp;" ref-days"))</f>
      </c>
    </row>
    <row r="14" spans="1:11">
      <c r="A14" s="731" t="s">
        <v>1837</v>
      </c>
      <c r="B14" s="732" t="s">
        <v>1838</v>
      </c>
      <c r="C14" s="732" t="s">
        <v>1839</v>
      </c>
      <c r="D14" s="732" t="s">
        <v>1840</v>
      </c>
    </row>
    <row r="15" spans="1:11">
      <c r="A15" t="s">
        <v>1841</v>
      </c>
      <c r="B15" s="581">
        <f>COUNTIF('Referees Master'!$G$4:$G$13,"International")/2</f>
      </c>
      <c r="C15" s="159">
        <f>$B$11*2+$H$9*2+$H$10*2+$H$8+$B$8*$H$6+$B$9*2*$H$7</f>
      </c>
      <c r="D15" s="159">
        <f>B15*C15</f>
      </c>
      <c r="E15" s="194"/>
    </row>
    <row r="16" spans="1:11">
      <c r="A16" t="s">
        <v>1842</v>
      </c>
      <c r="B16" s="581">
        <f>COUNTIF('Referees Master'!$G$4:$G$13,"Domestic")/2</f>
      </c>
      <c r="C16" s="159">
        <f>$B$10*2+$B$12*2+$B$13+$B$8*$B$7+$B$9*2*$B$6</f>
      </c>
      <c r="D16" s="159">
        <f>B16*C16</f>
      </c>
    </row>
    <row r="17" spans="1:8">
      <c r="A17" s="733" t="s">
        <v>1843</v>
      </c>
      <c r="B17" s="734">
        <f>COUNTIF('Referees Master'!$G$4:$G$13,"Local")/2</f>
      </c>
      <c r="C17" s="735">
        <f>$B$9*2*$B$6</f>
      </c>
      <c r="D17" s="735">
        <f>B17*C17</f>
      </c>
    </row>
    <row r="18" spans="1:8">
      <c r="A18" s="731" t="s">
        <v>1844</v>
      </c>
      <c r="B18" s="736"/>
      <c r="C18" s="736"/>
      <c r="D18" s="737">
        <f>SUM(D15:D17)</f>
      </c>
    </row>
    <row r="19" spans="1:8">
      <c r="A19" s="726" t="s">
        <v>1845</v>
      </c>
      <c r="B19" s="727"/>
      <c r="C19" s="727"/>
      <c r="D19" s="727"/>
      <c r="E19" s="727"/>
      <c r="F19" s="727"/>
      <c r="G19" s="727"/>
      <c r="H19" s="727"/>
    </row>
    <row r="20" spans="1:8">
      <c r="A20" s="731" t="s">
        <v>122</v>
      </c>
      <c r="B20" s="732" t="s">
        <v>1846</v>
      </c>
      <c r="C20" s="732" t="s">
        <v>1847</v>
      </c>
      <c r="D20" s="732" t="s">
        <v>1848</v>
      </c>
      <c r="E20" s="732" t="s">
        <v>112</v>
      </c>
    </row>
    <row r="21" spans="1:8">
      <c r="A21" t="s">
        <v>1849</v>
      </c>
      <c r="B21" s="159">
        <f>(B15*2*B11)+(B16*2*B10)</f>
      </c>
      <c r="C21" s="591">
        <f>'Referees Master'!H14</f>
      </c>
      <c r="D21" s="615">
        <f>B21-C21</f>
      </c>
      <c r="E21">
        <f>IF(D21&gt;=0,"✓ within","⚠ over")</f>
      </c>
    </row>
    <row r="22" spans="1:8">
      <c r="A22" t="inlineStr">
        <is>
          <t>Ground transport (uber, train, car)</t>
        </is>
      </c>
      <c r="B22" s="159">
        <f>B15*($H$9*2+$H$10*2+$H$8)+B16*($B$12*2+$B$13)</f>
      </c>
      <c r="C22" s="591">
        <f>'Referees Master'!K14</f>
      </c>
      <c r="D22" s="615">
        <f>B22-C22</f>
      </c>
      <c r="E22">
        <f>IF(D22&gt;=0,"✓ within","⚠ over")</f>
      </c>
    </row>
    <row r="23" spans="1:8">
      <c r="A23" t="s">
        <v>1850</v>
      </c>
      <c r="B23" s="159">
        <f>B15*$H$6*$B$8+B16*$B$7*$B$8</f>
      </c>
      <c r="C23" s="591">
        <f>'Referees Master'!I14</f>
      </c>
      <c r="D23" s="615">
        <f>B23-C23</f>
      </c>
      <c r="E23">
        <f>IF(D23&gt;=0,"✓ within","⚠ over")</f>
      </c>
    </row>
    <row r="24" spans="1:8">
      <c r="A24" t="s">
        <v>1851</v>
      </c>
      <c r="B24" s="159">
        <f>B15*2*$H$7*$B$9+(B16+B17)*2*$B$6*$B$9</f>
      </c>
      <c r="C24" s="591">
        <f>'Referees Master'!J14</f>
      </c>
      <c r="D24" s="615">
        <f>B24-C24</f>
      </c>
      <c r="E24">
        <f>IF(D24&gt;=0,"✓ within","⚠ over")</f>
      </c>
    </row>
    <row r="25" spans="1:8">
      <c r="A25" s="731" t="s">
        <v>1852</v>
      </c>
      <c r="B25" s="737">
        <f>SUM(B21:B24)</f>
      </c>
      <c r="C25" s="737">
        <f>SUM(C21:C24)</f>
      </c>
      <c r="D25" s="738">
        <f>B25-C25</f>
      </c>
      <c r="E25" s="731">
        <f>IF(D25&gt;=0,"✓ within","⚠ over")</f>
      </c>
    </row>
    <row r="27" spans="1:8">
      <c r="A27" s="238" t="inlineStr">
        <is>
          <t>Avg cost per non local pair</t>
        </is>
      </c>
      <c r="B27" s="754">
        <f>IFERROR((B25-D17)/(B15+B16),0)</f>
      </c>
    </row>
    <row r="31" spans="1:8">
      <c r="A31" s="857" t="s">
        <v>1853</v>
      </c>
      <c r="B31" s="858"/>
      <c r="C31" s="858"/>
      <c r="D31" s="858"/>
      <c r="E31" s="858"/>
      <c r="F31" s="858"/>
      <c r="G31" s="858"/>
      <c r="H31" s="730"/>
    </row>
    <row r="33" spans="1:8">
      <c r="A33" s="855" t="s">
        <v>1854</v>
      </c>
      <c r="B33" s="856"/>
      <c r="C33" s="856"/>
      <c r="D33" s="856"/>
      <c r="E33" s="857" t="s">
        <v>1855</v>
      </c>
      <c r="F33" s="858"/>
      <c r="G33" s="858"/>
      <c r="H33" s="858"/>
    </row>
    <row r="34" spans="1:8">
      <c r="A34" s="726" t="s">
        <v>121</v>
      </c>
      <c r="B34" s="726" t="s">
        <v>1856</v>
      </c>
      <c r="C34" s="726" t="s">
        <v>1857</v>
      </c>
      <c r="D34" s="726" t="s">
        <v>621</v>
      </c>
      <c r="E34" s="729" t="s">
        <v>121</v>
      </c>
      <c r="F34" s="729" t="s">
        <v>1856</v>
      </c>
      <c r="G34" s="729" t="s">
        <v>1857</v>
      </c>
      <c r="H34" s="729" t="s">
        <v>621</v>
      </c>
    </row>
    <row r="35" spans="1:8">
      <c r="A35" t="s">
        <v>1858</v>
      </c>
      <c r="B35" s="426">
        <v>49</v>
      </c>
      <c r="C35" s="426">
        <v>6</v>
      </c>
      <c r="D35" s="424">
        <f>B35*C35</f>
      </c>
      <c r="E35" t="s">
        <v>1858</v>
      </c>
      <c r="F35" s="426">
        <v>48.6</v>
      </c>
      <c r="G35" s="426">
        <v>5</v>
      </c>
      <c r="H35" s="424">
        <f>F35*G35</f>
      </c>
    </row>
    <row r="36" spans="1:8">
      <c r="A36" t="s">
        <v>1859</v>
      </c>
      <c r="B36" s="426">
        <v>49</v>
      </c>
      <c r="C36" s="426">
        <v>3</v>
      </c>
      <c r="D36" s="424">
        <f>B36*C36</f>
      </c>
      <c r="E36" t="s">
        <v>1859</v>
      </c>
      <c r="F36" s="426">
        <v>48.6</v>
      </c>
      <c r="G36" s="426">
        <v>3</v>
      </c>
      <c r="H36" s="424">
        <f>F36*G36</f>
      </c>
    </row>
    <row r="37" spans="1:8">
      <c r="A37" t="s">
        <v>1860</v>
      </c>
      <c r="B37" s="293"/>
      <c r="C37" s="293"/>
      <c r="D37" s="426">
        <v>0</v>
      </c>
      <c r="E37" t="s">
        <v>1860</v>
      </c>
      <c r="F37" s="293"/>
      <c r="G37" s="293"/>
      <c r="H37" s="426">
        <v>32</v>
      </c>
    </row>
    <row r="38" spans="1:8">
      <c r="A38" s="731" t="s">
        <v>1861</v>
      </c>
      <c r="B38" s="739"/>
      <c r="C38" s="739"/>
      <c r="D38" s="739">
        <f>SUM(D35:D37)</f>
      </c>
      <c r="E38" s="731" t="s">
        <v>1862</v>
      </c>
      <c r="F38" s="739"/>
      <c r="G38" s="739"/>
      <c r="H38" s="739">
        <f>SUM(H35:H37)</f>
      </c>
    </row>
    <row r="39" spans="1:8">
      <c r="A39" s="740" t="s">
        <v>1863</v>
      </c>
      <c r="B39" s="740"/>
      <c r="C39" s="740"/>
      <c r="D39" s="740"/>
      <c r="E39" s="733"/>
      <c r="F39" s="741"/>
      <c r="G39" s="741"/>
      <c r="H39" s="741">
        <f>D38-H38</f>
      </c>
    </row>
    <row r="42" spans="1:8">
      <c r="A42" s="857" t="s">
        <v>1864</v>
      </c>
      <c r="B42" s="858"/>
      <c r="C42" s="858"/>
      <c r="D42" s="858"/>
      <c r="E42" s="858"/>
      <c r="F42" s="858"/>
      <c r="G42" s="858"/>
      <c r="H42" s="730"/>
    </row>
    <row r="43" spans="1:8">
      <c r="A43" t="s">
        <v>1865</v>
      </c>
      <c r="B43" s="751">
        <v>1.1000000000000001</v>
      </c>
    </row>
    <row r="44" spans="1:8">
      <c r="A44" s="855" t="s">
        <v>1854</v>
      </c>
      <c r="B44" s="856"/>
      <c r="C44" s="856"/>
      <c r="D44" s="856"/>
      <c r="E44" s="857" t="s">
        <v>1855</v>
      </c>
      <c r="F44" s="858"/>
      <c r="G44" s="858"/>
      <c r="H44" s="858"/>
    </row>
    <row r="45" spans="1:8">
      <c r="A45" s="726" t="s">
        <v>1866</v>
      </c>
      <c r="B45" s="726" t="s">
        <v>1632</v>
      </c>
      <c r="C45" s="726" t="s">
        <v>1867</v>
      </c>
      <c r="D45" s="726" t="s">
        <v>621</v>
      </c>
      <c r="E45" s="729" t="s">
        <v>290</v>
      </c>
      <c r="F45" s="729" t="s">
        <v>1632</v>
      </c>
      <c r="G45" s="729" t="s">
        <v>1867</v>
      </c>
      <c r="H45" s="729" t="s">
        <v>621</v>
      </c>
    </row>
    <row r="46" spans="1:8">
      <c r="A46" t="s">
        <v>928</v>
      </c>
      <c r="B46" s="616">
        <f>ROUND('Format Engine'!$H$14*$B$43,2)</f>
      </c>
      <c r="C46" s="641">
        <f>'Medical Staff Master'!$B$3</f>
      </c>
      <c r="D46" s="213">
        <f>B46*C46</f>
      </c>
      <c r="E46" s="322">
        <f>'Medical Staff Master'!B6</f>
      </c>
      <c r="F46" s="641">
        <f>'Medical Staff Master'!C6</f>
      </c>
      <c r="G46" s="642">
        <f>$C$46</f>
      </c>
      <c r="H46" s="424">
        <f>F46*G46</f>
      </c>
    </row>
    <row r="47" spans="1:8">
      <c r="A47" t="s">
        <v>929</v>
      </c>
      <c r="B47" s="616">
        <f>ROUND('Format Engine'!$H$15*$B$43,2)</f>
      </c>
      <c r="C47" s="642">
        <f>$C$46</f>
      </c>
      <c r="D47" s="213">
        <f>B47*C47</f>
      </c>
      <c r="E47" s="322">
        <f>'Medical Staff Master'!B7</f>
      </c>
      <c r="F47" s="641">
        <f>'Medical Staff Master'!C7</f>
      </c>
      <c r="G47" s="642">
        <f>$C$46</f>
      </c>
      <c r="H47" s="424">
        <f>F47*G47</f>
      </c>
    </row>
    <row r="48" spans="1:8">
      <c r="A48" t="s">
        <v>930</v>
      </c>
      <c r="B48" s="616">
        <f>ROUND('Format Engine'!$H$16*$B$43,2)</f>
      </c>
      <c r="C48" s="642">
        <f>$C$46</f>
      </c>
      <c r="D48" s="213">
        <f>B48*C48</f>
      </c>
      <c r="E48" s="322">
        <f>'Medical Staff Master'!B8</f>
      </c>
      <c r="F48" s="641">
        <f>'Medical Staff Master'!C8</f>
      </c>
      <c r="G48" s="642">
        <f>$C$46</f>
      </c>
      <c r="H48" s="424">
        <f>F48*G48</f>
      </c>
    </row>
    <row r="49" spans="1:8">
      <c r="A49" t="s">
        <v>931</v>
      </c>
      <c r="B49" s="616">
        <f>ROUND('Format Engine'!$H$17*$B$43,2)</f>
      </c>
      <c r="C49" s="642">
        <f>$C$46</f>
      </c>
      <c r="D49" s="213">
        <f>B49*C49</f>
      </c>
      <c r="E49" s="322">
        <f>'Medical Staff Master'!B9</f>
      </c>
      <c r="F49" s="641">
        <f>'Medical Staff Master'!C9</f>
      </c>
      <c r="G49" s="642">
        <f>$C$46</f>
      </c>
      <c r="H49" s="424">
        <f>F49*G49</f>
      </c>
    </row>
    <row r="50" spans="1:8">
      <c r="A50" s="731" t="s">
        <v>1861</v>
      </c>
      <c r="B50" s="742">
        <f>SUM(B46:B49)</f>
      </c>
      <c r="C50" s="731"/>
      <c r="D50" s="737">
        <f>SUM(D46:D49)</f>
      </c>
      <c r="E50" s="731" t="s">
        <v>1862</v>
      </c>
      <c r="F50" s="739">
        <f>SUM(F46:F49)</f>
      </c>
      <c r="G50" s="739"/>
      <c r="H50" s="739">
        <f>SUM(H46:H49)</f>
      </c>
    </row>
    <row r="51" spans="1:8" ht="15.6">
      <c r="A51" s="728" t="s">
        <v>1868</v>
      </c>
      <c r="B51" s="727"/>
      <c r="C51" s="727"/>
      <c r="D51" s="727"/>
      <c r="E51" s="727"/>
      <c r="F51" s="727"/>
      <c r="G51" s="727"/>
      <c r="H51" s="727"/>
    </row>
    <row r="52" spans="1:8">
      <c r="A52" s="731" t="s">
        <v>122</v>
      </c>
      <c r="B52" s="732" t="s">
        <v>1846</v>
      </c>
      <c r="C52" s="732" t="s">
        <v>1847</v>
      </c>
      <c r="D52" s="732" t="s">
        <v>1848</v>
      </c>
      <c r="E52" s="732" t="s">
        <v>1869</v>
      </c>
      <c r="F52" s="732" t="s">
        <v>112</v>
      </c>
    </row>
    <row r="53" spans="1:8">
      <c r="A53" t="s">
        <v>1870</v>
      </c>
      <c r="B53" s="159">
        <f>B25</f>
      </c>
      <c r="C53" s="753">
        <f>C25</f>
      </c>
      <c r="D53" s="615">
        <f>B53-C53</f>
      </c>
      <c r="E53" s="301">
        <f>IFERROR(D53/B53,0)</f>
      </c>
      <c r="F53">
        <f>IF(C53&lt;=B53,"✓ within","⚠ over")</f>
      </c>
    </row>
    <row r="54" spans="1:8">
      <c r="A54" t="s">
        <v>1693</v>
      </c>
      <c r="B54" s="159">
        <f>D38</f>
      </c>
      <c r="C54" s="753">
        <f>H38</f>
      </c>
      <c r="D54" s="615">
        <f>B54-C54</f>
      </c>
      <c r="E54" s="301">
        <f>IFERROR(D54/B54,0)</f>
      </c>
      <c r="F54">
        <f>IF(C54&lt;=B54,"✓ within","⚠ over")</f>
      </c>
    </row>
    <row r="55" spans="1:8">
      <c r="A55" t="s">
        <v>1871</v>
      </c>
      <c r="B55" s="159">
        <f>D50</f>
      </c>
      <c r="C55" s="591">
        <f>'Medical Staff Master'!$E$11</f>
      </c>
      <c r="D55" s="615">
        <f>B55-C55</f>
      </c>
      <c r="E55" s="301">
        <f>IFERROR(D55/B55,0)</f>
      </c>
      <c r="F55">
        <f>IF(C55&lt;=B55,"✓ within","⚠ over")</f>
      </c>
    </row>
    <row r="56" spans="1:8">
      <c r="A56" s="743" t="s">
        <v>1872</v>
      </c>
      <c r="B56" s="744">
        <f>SUM(B53:B55)</f>
      </c>
      <c r="C56" s="744">
        <f>SUM(C53:C55)</f>
      </c>
      <c r="D56" s="745">
        <f>B56-C56</f>
      </c>
      <c r="E56" s="746">
        <f>IFERROR(D56/B56,0)</f>
      </c>
      <c r="F56" s="743">
        <f>IF(C56&lt;=B56,"✓ within","⚠ over")</f>
      </c>
    </row>
  </sheetData>
  <mergeCells count="9">
    <mergeCell ref="A44:D44"/>
    <mergeCell ref="E44:H44"/>
    <mergeCell ref="A33:D33"/>
    <mergeCell ref="E33:H33"/>
    <mergeCell ref="A1:H1"/>
    <mergeCell ref="A3:H3"/>
    <mergeCell ref="A5:G5"/>
    <mergeCell ref="A31:G31"/>
    <mergeCell ref="A42:G42"/>
  </mergeCells>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686D-4B1F-436E-A1E1-52E16ADE1BE5}">
  <sheetPr>
    <tabColor rgb="FF9DC3E6"/>
  </sheetPr>
  <dimension ref="A1:AA999"/>
  <sheetViews>
    <sheetView showGridLines="0" workbookViewId="0">
      <pane xSplit="4" ySplit="3" topLeftCell="E52" activePane="bottomRight" state="frozen"/>
      <selection pane="topRight" activeCell="Z11" sqref="Z11"/>
      <selection pane="bottomLeft" activeCell="Z11" sqref="Z11"/>
      <selection pane="bottomRight" activeCell="E5" sqref="E5"/>
    </sheetView>
  </sheetViews>
  <sheetFormatPr defaultColWidth="14.44140625" defaultRowHeight="15" customHeight="1" outlineLevelRow="1" outlineLevelCol="1"/>
  <cols>
    <col min="1" max="1" width="8.6640625" style="73" customWidth="1"/>
    <col min="2" max="2" width="32.5546875" style="73" customWidth="1"/>
    <col min="3" max="3" width="8.33203125" style="73" customWidth="1"/>
    <col min="4" max="4" width="12" style="73" customWidth="1"/>
    <col min="5" max="5" width="8" style="73" customWidth="1" outlineLevel="1"/>
    <col min="6" max="6" width="9.6640625" style="73" customWidth="1" outlineLevel="1"/>
    <col min="7" max="7" width="11.44140625" style="73" customWidth="1" outlineLevel="1"/>
    <col min="8" max="8" width="12.6640625" style="73" customWidth="1" outlineLevel="1"/>
    <col min="9" max="9" width="18.33203125" style="73" customWidth="1"/>
    <col min="10" max="11" width="9.88671875" style="73" customWidth="1"/>
    <col min="12" max="12" width="9" style="73" customWidth="1"/>
    <col min="13" max="13" width="17" style="73" customWidth="1"/>
    <col min="14" max="15" width="9.88671875" style="73" customWidth="1"/>
    <col min="16" max="16" width="9.6640625" style="73" customWidth="1"/>
    <col min="17" max="17" width="17" style="73" customWidth="1"/>
    <col min="18" max="19" width="9.88671875" style="73" customWidth="1"/>
    <col min="20" max="20" width="9" style="73" customWidth="1"/>
    <col min="21" max="21" width="10" style="73" customWidth="1"/>
    <col min="22" max="22" width="10.5546875" style="73" customWidth="1"/>
    <col min="23" max="23" width="16.109375" style="73" customWidth="1"/>
    <col min="24" max="24" width="8.6640625" style="73" customWidth="1"/>
    <col min="25" max="26" width="8.6640625" style="73" hidden="1" customWidth="1" outlineLevel="1"/>
    <col min="27" max="27" width="14.44140625" style="73" collapsed="1"/>
    <col min="28" max="16384" width="14.44140625" style="73"/>
  </cols>
  <sheetData>
    <row r="1" spans="1:26" ht="18">
      <c r="B1" s="300" t="s">
        <v>1873</v>
      </c>
      <c r="C1" s="108"/>
    </row>
    <row r="2" spans="1:26" ht="14.4">
      <c r="A2" s="811" t="s">
        <v>1874</v>
      </c>
      <c r="C2" s="108"/>
      <c r="E2" s="861" t="s">
        <v>1875</v>
      </c>
      <c r="F2" s="862"/>
      <c r="G2" s="862"/>
      <c r="H2" s="862"/>
      <c r="I2" s="861" t="s">
        <v>929</v>
      </c>
      <c r="J2" s="863"/>
      <c r="K2" s="863"/>
      <c r="L2" s="863"/>
      <c r="M2" s="861" t="s">
        <v>930</v>
      </c>
      <c r="N2" s="863"/>
      <c r="O2" s="863"/>
      <c r="P2" s="863"/>
      <c r="Q2" s="861" t="s">
        <v>931</v>
      </c>
      <c r="R2" s="863"/>
      <c r="S2" s="863"/>
      <c r="T2" s="863"/>
      <c r="U2" s="864" t="s">
        <v>1876</v>
      </c>
      <c r="V2" s="865"/>
      <c r="W2" s="865"/>
    </row>
    <row r="3" spans="1:26" ht="14.4">
      <c r="B3" s="298" t="s">
        <v>1877</v>
      </c>
      <c r="C3" s="299" t="s">
        <v>1878</v>
      </c>
      <c r="D3" s="298" t="s">
        <v>122</v>
      </c>
      <c r="E3" s="298" t="s">
        <v>626</v>
      </c>
      <c r="F3" s="298" t="s">
        <v>627</v>
      </c>
      <c r="G3" s="298" t="s">
        <v>628</v>
      </c>
      <c r="H3" s="298" t="s">
        <v>629</v>
      </c>
      <c r="I3" s="298"/>
      <c r="J3" s="298" t="s">
        <v>1879</v>
      </c>
      <c r="K3" s="298" t="s">
        <v>1880</v>
      </c>
      <c r="L3" s="298" t="s">
        <v>1881</v>
      </c>
      <c r="M3" s="298"/>
      <c r="N3" s="427">
        <f t="shared" ref="N3:T3" si="0">J3</f>
      </c>
      <c r="O3" s="427">
        <f t="shared" si="0"/>
      </c>
      <c r="P3" s="427">
        <f t="shared" si="0"/>
      </c>
      <c r="Q3" s="427">
        <f t="shared" si="0"/>
      </c>
      <c r="R3" s="427">
        <f t="shared" si="0"/>
      </c>
      <c r="S3" s="427">
        <f t="shared" si="0"/>
      </c>
      <c r="T3" s="427">
        <f t="shared" si="0"/>
      </c>
      <c r="U3" s="427">
        <f>T3</f>
      </c>
      <c r="V3" s="298"/>
      <c r="W3" s="298" t="s">
        <v>1880</v>
      </c>
    </row>
    <row r="4" spans="1:26" thickBot="1">
      <c r="B4" s="112" t="s">
        <v>1882</v>
      </c>
      <c r="C4" s="110"/>
      <c r="D4" s="109"/>
      <c r="E4" s="109"/>
      <c r="F4" s="109"/>
      <c r="G4" s="109"/>
      <c r="H4" s="109"/>
      <c r="I4" s="109"/>
      <c r="J4" s="109"/>
      <c r="K4" s="109"/>
      <c r="L4" s="109"/>
      <c r="M4" s="111"/>
      <c r="N4" s="111"/>
      <c r="O4" s="111"/>
      <c r="P4" s="111"/>
      <c r="Q4" s="111"/>
      <c r="R4" s="111"/>
      <c r="S4" s="111"/>
      <c r="T4" s="111"/>
      <c r="U4" s="111"/>
      <c r="V4" s="111"/>
    </row>
    <row r="5" spans="1:26" ht="14.4">
      <c r="B5" s="113" t="s">
        <v>631</v>
      </c>
      <c r="C5" s="108" t="s">
        <v>1744</v>
      </c>
      <c r="D5" s="114" t="s">
        <v>632</v>
      </c>
      <c r="E5" s="321">
        <f>'Concession purchase list'!I18</f>
      </c>
      <c r="F5" s="115">
        <v>2.25</v>
      </c>
      <c r="G5" s="428">
        <f t="shared" ref="G5:G46" si="1">IFERROR(F5-E5,"na")</f>
      </c>
      <c r="H5" s="429">
        <f t="shared" ref="H5:H46" si="2">IFERROR(G5/F5,"na")</f>
      </c>
      <c r="I5" s="118"/>
      <c r="J5" s="119">
        <v>0</v>
      </c>
      <c r="K5" s="428">
        <f t="shared" ref="K5:K47" si="3">J5*$F5</f>
      </c>
      <c r="L5" s="428">
        <f t="shared" ref="L5:L46" si="4">IFERROR(J5*G5,"na")</f>
      </c>
      <c r="M5" s="118"/>
      <c r="N5" s="119">
        <v>0</v>
      </c>
      <c r="O5" s="428">
        <f t="shared" ref="O5:O47" si="5">N5*$F5</f>
      </c>
      <c r="P5" s="428">
        <f t="shared" ref="P5:P46" si="6">IFERROR(N5*G5,"na")</f>
      </c>
      <c r="Q5" s="118"/>
      <c r="R5" s="119">
        <v>0</v>
      </c>
      <c r="S5" s="428">
        <f t="shared" ref="S5:S47" si="7">R5*$F5</f>
      </c>
      <c r="T5" s="428">
        <f t="shared" ref="T5:T46" si="8">IFERROR(R5*G5,"na")</f>
      </c>
      <c r="U5" s="428">
        <f t="shared" ref="U5:U46" si="9">L5+P5+T5</f>
      </c>
      <c r="V5" s="116"/>
      <c r="W5" s="428">
        <f t="shared" ref="W5:W46" si="10">K5+O5+S5</f>
      </c>
      <c r="Z5" s="120" t="s">
        <v>643</v>
      </c>
    </row>
    <row r="6" spans="1:26" ht="14.4">
      <c r="B6" s="113" t="s">
        <v>634</v>
      </c>
      <c r="C6" s="108" t="s">
        <v>1744</v>
      </c>
      <c r="D6" s="114" t="s">
        <v>632</v>
      </c>
      <c r="E6" s="321">
        <f>'Concession purchase list'!I19</f>
      </c>
      <c r="F6" s="115">
        <v>2.25</v>
      </c>
      <c r="G6" s="428">
        <f t="shared" si="1"/>
      </c>
      <c r="H6" s="429">
        <f t="shared" si="2"/>
      </c>
      <c r="I6" s="118"/>
      <c r="J6" s="119">
        <v>0</v>
      </c>
      <c r="K6" s="428">
        <f t="shared" si="3"/>
      </c>
      <c r="L6" s="428">
        <f t="shared" si="4"/>
      </c>
      <c r="M6" s="118"/>
      <c r="N6" s="119">
        <v>0</v>
      </c>
      <c r="O6" s="428">
        <f t="shared" si="5"/>
      </c>
      <c r="P6" s="428">
        <f t="shared" si="6"/>
      </c>
      <c r="Q6" s="118"/>
      <c r="R6" s="119">
        <v>0</v>
      </c>
      <c r="S6" s="428">
        <f t="shared" si="7"/>
      </c>
      <c r="T6" s="428">
        <f t="shared" si="8"/>
      </c>
      <c r="U6" s="428">
        <f t="shared" si="9"/>
      </c>
      <c r="V6" s="116"/>
      <c r="W6" s="428">
        <f t="shared" si="10"/>
      </c>
      <c r="Z6" s="121" t="s">
        <v>632</v>
      </c>
    </row>
    <row r="7" spans="1:26" ht="14.4">
      <c r="B7" s="113" t="s">
        <v>636</v>
      </c>
      <c r="C7" s="108" t="s">
        <v>1744</v>
      </c>
      <c r="D7" s="114" t="s">
        <v>632</v>
      </c>
      <c r="E7" s="321">
        <f>'Concession purchase list'!I20</f>
      </c>
      <c r="F7" s="115">
        <v>1.75</v>
      </c>
      <c r="G7" s="428">
        <f t="shared" si="1"/>
      </c>
      <c r="H7" s="429">
        <f t="shared" si="2"/>
      </c>
      <c r="I7" s="118"/>
      <c r="J7" s="119">
        <v>0</v>
      </c>
      <c r="K7" s="428">
        <f t="shared" si="3"/>
      </c>
      <c r="L7" s="428">
        <f t="shared" si="4"/>
      </c>
      <c r="M7" s="118"/>
      <c r="N7" s="119">
        <v>0</v>
      </c>
      <c r="O7" s="428">
        <f t="shared" si="5"/>
      </c>
      <c r="P7" s="428">
        <f t="shared" si="6"/>
      </c>
      <c r="Q7" s="118"/>
      <c r="R7" s="119">
        <v>0</v>
      </c>
      <c r="S7" s="428">
        <f t="shared" si="7"/>
      </c>
      <c r="T7" s="428">
        <f t="shared" si="8"/>
      </c>
      <c r="U7" s="428">
        <f t="shared" si="9"/>
      </c>
      <c r="V7" s="116"/>
      <c r="W7" s="428">
        <f t="shared" si="10"/>
      </c>
      <c r="Z7" s="121" t="s">
        <v>1883</v>
      </c>
    </row>
    <row r="8" spans="1:26" thickBot="1">
      <c r="B8" s="113" t="s">
        <v>638</v>
      </c>
      <c r="C8" s="108" t="s">
        <v>1744</v>
      </c>
      <c r="D8" s="114" t="s">
        <v>632</v>
      </c>
      <c r="E8" s="115">
        <v>0.9</v>
      </c>
      <c r="F8" s="115">
        <v>2.75</v>
      </c>
      <c r="G8" s="428">
        <f t="shared" si="1"/>
      </c>
      <c r="H8" s="429">
        <f t="shared" si="2"/>
      </c>
      <c r="I8" s="118"/>
      <c r="J8" s="119">
        <v>0</v>
      </c>
      <c r="K8" s="428">
        <f t="shared" si="3"/>
      </c>
      <c r="L8" s="428">
        <f t="shared" si="4"/>
      </c>
      <c r="M8" s="118"/>
      <c r="N8" s="119">
        <v>0</v>
      </c>
      <c r="O8" s="428">
        <f t="shared" si="5"/>
      </c>
      <c r="P8" s="428">
        <f t="shared" si="6"/>
      </c>
      <c r="Q8" s="118"/>
      <c r="R8" s="119">
        <v>0</v>
      </c>
      <c r="S8" s="428">
        <f t="shared" si="7"/>
      </c>
      <c r="T8" s="428">
        <f t="shared" si="8"/>
      </c>
      <c r="U8" s="428">
        <f t="shared" si="9"/>
      </c>
      <c r="V8" s="116"/>
      <c r="W8" s="428">
        <f t="shared" si="10"/>
      </c>
      <c r="Z8" s="122" t="s">
        <v>648</v>
      </c>
    </row>
    <row r="9" spans="1:26" ht="14.4">
      <c r="B9" s="113" t="s">
        <v>640</v>
      </c>
      <c r="C9" s="108" t="s">
        <v>1744</v>
      </c>
      <c r="D9" s="114" t="s">
        <v>632</v>
      </c>
      <c r="E9" s="115">
        <v>1.8</v>
      </c>
      <c r="F9" s="115">
        <v>4</v>
      </c>
      <c r="G9" s="428">
        <f t="shared" si="1"/>
      </c>
      <c r="H9" s="429">
        <f t="shared" si="2"/>
      </c>
      <c r="I9" s="118"/>
      <c r="J9" s="119">
        <v>0</v>
      </c>
      <c r="K9" s="428">
        <f t="shared" si="3"/>
      </c>
      <c r="L9" s="428">
        <f t="shared" si="4"/>
      </c>
      <c r="M9" s="118"/>
      <c r="N9" s="119">
        <v>0</v>
      </c>
      <c r="O9" s="428">
        <f t="shared" si="5"/>
      </c>
      <c r="P9" s="428">
        <f t="shared" si="6"/>
      </c>
      <c r="Q9" s="118"/>
      <c r="R9" s="119">
        <v>0</v>
      </c>
      <c r="S9" s="428">
        <f t="shared" si="7"/>
      </c>
      <c r="T9" s="428">
        <f t="shared" si="8"/>
      </c>
      <c r="U9" s="428">
        <f t="shared" si="9"/>
      </c>
      <c r="V9" s="116"/>
      <c r="W9" s="428">
        <f t="shared" si="10"/>
      </c>
    </row>
    <row r="10" spans="1:26" ht="14.4">
      <c r="B10" s="113" t="s">
        <v>642</v>
      </c>
      <c r="C10" s="108" t="s">
        <v>1744</v>
      </c>
      <c r="D10" s="114" t="s">
        <v>643</v>
      </c>
      <c r="E10" s="115">
        <v>2.2</v>
      </c>
      <c r="F10" s="115">
        <v>6</v>
      </c>
      <c r="G10" s="428">
        <f t="shared" si="1"/>
      </c>
      <c r="H10" s="430">
        <f t="shared" si="2"/>
      </c>
      <c r="I10" s="118"/>
      <c r="J10" s="119">
        <v>0</v>
      </c>
      <c r="K10" s="428">
        <f t="shared" si="3"/>
      </c>
      <c r="L10" s="428">
        <f t="shared" si="4"/>
      </c>
      <c r="M10" s="118"/>
      <c r="N10" s="119">
        <v>0</v>
      </c>
      <c r="O10" s="428">
        <f t="shared" si="5"/>
      </c>
      <c r="P10" s="428">
        <f t="shared" si="6"/>
      </c>
      <c r="Q10" s="118"/>
      <c r="R10" s="119">
        <v>0</v>
      </c>
      <c r="S10" s="428">
        <f t="shared" si="7"/>
      </c>
      <c r="T10" s="428">
        <f t="shared" si="8"/>
      </c>
      <c r="U10" s="428">
        <f t="shared" si="9"/>
      </c>
      <c r="V10" s="116"/>
      <c r="W10" s="428">
        <f t="shared" si="10"/>
      </c>
    </row>
    <row r="11" spans="1:26" ht="14.4">
      <c r="B11" s="113" t="s">
        <v>645</v>
      </c>
      <c r="C11" s="108" t="s">
        <v>1744</v>
      </c>
      <c r="D11" s="114" t="s">
        <v>643</v>
      </c>
      <c r="E11" s="115">
        <v>1.9</v>
      </c>
      <c r="F11" s="115">
        <v>5</v>
      </c>
      <c r="G11" s="428">
        <f t="shared" si="1"/>
      </c>
      <c r="H11" s="430">
        <f t="shared" si="2"/>
      </c>
      <c r="I11" s="118"/>
      <c r="J11" s="119">
        <v>0</v>
      </c>
      <c r="K11" s="428">
        <f t="shared" si="3"/>
      </c>
      <c r="L11" s="428">
        <f t="shared" si="4"/>
      </c>
      <c r="M11" s="118"/>
      <c r="N11" s="119">
        <v>0</v>
      </c>
      <c r="O11" s="428">
        <f t="shared" si="5"/>
      </c>
      <c r="P11" s="428">
        <f t="shared" si="6"/>
      </c>
      <c r="Q11" s="118"/>
      <c r="R11" s="119">
        <v>0</v>
      </c>
      <c r="S11" s="428">
        <f t="shared" si="7"/>
      </c>
      <c r="T11" s="428">
        <f t="shared" si="8"/>
      </c>
      <c r="U11" s="428">
        <f t="shared" si="9"/>
      </c>
      <c r="V11" s="116"/>
      <c r="W11" s="428">
        <f t="shared" si="10"/>
      </c>
    </row>
    <row r="12" spans="1:26" ht="14.4">
      <c r="B12" s="113" t="s">
        <v>652</v>
      </c>
      <c r="C12" s="108" t="s">
        <v>1744</v>
      </c>
      <c r="D12" s="114" t="s">
        <v>643</v>
      </c>
      <c r="E12" s="115">
        <v>1.4</v>
      </c>
      <c r="F12" s="115">
        <v>3.5</v>
      </c>
      <c r="G12" s="428">
        <f t="shared" si="1"/>
      </c>
      <c r="H12" s="430">
        <f t="shared" si="2"/>
      </c>
      <c r="I12" s="118"/>
      <c r="J12" s="119">
        <v>0</v>
      </c>
      <c r="K12" s="428">
        <f t="shared" si="3"/>
      </c>
      <c r="L12" s="428">
        <f t="shared" si="4"/>
      </c>
      <c r="M12" s="118"/>
      <c r="N12" s="119">
        <v>0</v>
      </c>
      <c r="O12" s="428">
        <f t="shared" si="5"/>
      </c>
      <c r="P12" s="428">
        <f t="shared" si="6"/>
      </c>
      <c r="Q12" s="118"/>
      <c r="R12" s="119">
        <v>0</v>
      </c>
      <c r="S12" s="428">
        <f t="shared" si="7"/>
      </c>
      <c r="T12" s="428">
        <f t="shared" si="8"/>
      </c>
      <c r="U12" s="428">
        <f t="shared" si="9"/>
      </c>
      <c r="V12" s="116"/>
      <c r="W12" s="428">
        <f t="shared" si="10"/>
      </c>
    </row>
    <row r="13" spans="1:26" ht="14.4">
      <c r="B13" s="113" t="s">
        <v>654</v>
      </c>
      <c r="C13" s="108" t="s">
        <v>1744</v>
      </c>
      <c r="D13" s="114" t="s">
        <v>643</v>
      </c>
      <c r="E13" s="115">
        <v>1.6</v>
      </c>
      <c r="F13" s="115">
        <v>4.5</v>
      </c>
      <c r="G13" s="428">
        <f t="shared" si="1"/>
      </c>
      <c r="H13" s="430">
        <f t="shared" si="2"/>
      </c>
      <c r="I13" s="118"/>
      <c r="J13" s="119">
        <v>0</v>
      </c>
      <c r="K13" s="428">
        <f t="shared" si="3"/>
      </c>
      <c r="L13" s="428">
        <f t="shared" si="4"/>
      </c>
      <c r="M13" s="118"/>
      <c r="N13" s="119">
        <v>0</v>
      </c>
      <c r="O13" s="428">
        <f t="shared" si="5"/>
      </c>
      <c r="P13" s="428">
        <f t="shared" si="6"/>
      </c>
      <c r="Q13" s="118"/>
      <c r="R13" s="119">
        <v>0</v>
      </c>
      <c r="S13" s="428">
        <f t="shared" si="7"/>
      </c>
      <c r="T13" s="428">
        <f t="shared" si="8"/>
      </c>
      <c r="U13" s="428">
        <f t="shared" si="9"/>
      </c>
      <c r="V13" s="116"/>
      <c r="W13" s="428">
        <f t="shared" si="10"/>
      </c>
    </row>
    <row r="14" spans="1:26" ht="14.4">
      <c r="B14" s="113" t="s">
        <v>656</v>
      </c>
      <c r="C14" s="108" t="s">
        <v>1744</v>
      </c>
      <c r="D14" s="114" t="s">
        <v>643</v>
      </c>
      <c r="E14" s="115">
        <v>0.8</v>
      </c>
      <c r="F14" s="115">
        <v>2.25</v>
      </c>
      <c r="G14" s="428">
        <f t="shared" si="1"/>
      </c>
      <c r="H14" s="429">
        <f t="shared" si="2"/>
      </c>
      <c r="I14" s="118"/>
      <c r="J14" s="119">
        <v>0</v>
      </c>
      <c r="K14" s="428">
        <f t="shared" si="3"/>
      </c>
      <c r="L14" s="428">
        <f t="shared" si="4"/>
      </c>
      <c r="M14" s="118"/>
      <c r="N14" s="119">
        <v>0</v>
      </c>
      <c r="O14" s="428">
        <f t="shared" si="5"/>
      </c>
      <c r="P14" s="428">
        <f t="shared" si="6"/>
      </c>
      <c r="Q14" s="118"/>
      <c r="R14" s="119">
        <v>0</v>
      </c>
      <c r="S14" s="428">
        <f t="shared" si="7"/>
      </c>
      <c r="T14" s="428">
        <f t="shared" si="8"/>
      </c>
      <c r="U14" s="428">
        <f t="shared" si="9"/>
      </c>
      <c r="V14" s="116"/>
      <c r="W14" s="428">
        <f t="shared" si="10"/>
      </c>
    </row>
    <row r="15" spans="1:26" ht="14.4">
      <c r="B15" s="113" t="s">
        <v>658</v>
      </c>
      <c r="C15" s="108" t="s">
        <v>1744</v>
      </c>
      <c r="D15" s="114" t="s">
        <v>643</v>
      </c>
      <c r="E15" s="431">
        <f>E14*2</f>
      </c>
      <c r="F15" s="115">
        <v>4</v>
      </c>
      <c r="G15" s="428">
        <f t="shared" si="1"/>
      </c>
      <c r="H15" s="429">
        <f t="shared" si="2"/>
      </c>
      <c r="I15" s="118"/>
      <c r="J15" s="119">
        <v>0</v>
      </c>
      <c r="K15" s="428">
        <f t="shared" si="3"/>
      </c>
      <c r="L15" s="428">
        <f t="shared" si="4"/>
      </c>
      <c r="M15" s="118"/>
      <c r="N15" s="119">
        <v>0</v>
      </c>
      <c r="O15" s="428">
        <f t="shared" si="5"/>
      </c>
      <c r="P15" s="428">
        <f t="shared" si="6"/>
      </c>
      <c r="Q15" s="118"/>
      <c r="R15" s="119">
        <v>0</v>
      </c>
      <c r="S15" s="428">
        <f t="shared" si="7"/>
      </c>
      <c r="T15" s="428">
        <f t="shared" si="8"/>
      </c>
      <c r="U15" s="428">
        <f t="shared" si="9"/>
      </c>
      <c r="V15" s="116"/>
      <c r="W15" s="428">
        <f t="shared" si="10"/>
      </c>
    </row>
    <row r="16" spans="1:26" ht="14.4">
      <c r="B16" s="113" t="s">
        <v>660</v>
      </c>
      <c r="C16" s="108" t="s">
        <v>1744</v>
      </c>
      <c r="D16" s="114" t="s">
        <v>643</v>
      </c>
      <c r="E16" s="115">
        <v>0.28</v>
      </c>
      <c r="F16" s="115">
        <v>1</v>
      </c>
      <c r="G16" s="428">
        <f t="shared" si="1"/>
      </c>
      <c r="H16" s="429">
        <f t="shared" si="2"/>
      </c>
      <c r="I16" s="118"/>
      <c r="J16" s="119">
        <v>0</v>
      </c>
      <c r="K16" s="428">
        <f t="shared" si="3"/>
      </c>
      <c r="L16" s="428">
        <f t="shared" si="4"/>
      </c>
      <c r="M16" s="118"/>
      <c r="N16" s="119">
        <v>0</v>
      </c>
      <c r="O16" s="428">
        <f t="shared" si="5"/>
      </c>
      <c r="P16" s="428">
        <f t="shared" si="6"/>
      </c>
      <c r="Q16" s="118"/>
      <c r="R16" s="119">
        <v>0</v>
      </c>
      <c r="S16" s="428">
        <f t="shared" si="7"/>
      </c>
      <c r="T16" s="428">
        <f t="shared" si="8"/>
      </c>
      <c r="U16" s="428">
        <f t="shared" si="9"/>
      </c>
      <c r="V16" s="116"/>
      <c r="W16" s="428">
        <f t="shared" si="10"/>
      </c>
    </row>
    <row r="17" spans="2:23" ht="14.4">
      <c r="B17" s="113" t="s">
        <v>662</v>
      </c>
      <c r="C17" s="108" t="s">
        <v>1744</v>
      </c>
      <c r="D17" s="114" t="s">
        <v>648</v>
      </c>
      <c r="E17" s="431">
        <f>E8+E16+E14</f>
      </c>
      <c r="F17" s="115">
        <v>5</v>
      </c>
      <c r="G17" s="428">
        <f t="shared" si="1"/>
      </c>
      <c r="H17" s="429">
        <f t="shared" si="2"/>
      </c>
      <c r="I17" s="118"/>
      <c r="J17" s="119">
        <v>0</v>
      </c>
      <c r="K17" s="428">
        <f t="shared" si="3"/>
      </c>
      <c r="L17" s="428">
        <f t="shared" si="4"/>
      </c>
      <c r="M17" s="118"/>
      <c r="N17" s="119">
        <v>0</v>
      </c>
      <c r="O17" s="428">
        <f t="shared" si="5"/>
      </c>
      <c r="P17" s="428">
        <f t="shared" si="6"/>
      </c>
      <c r="Q17" s="118"/>
      <c r="R17" s="119">
        <v>0</v>
      </c>
      <c r="S17" s="428">
        <f t="shared" si="7"/>
      </c>
      <c r="T17" s="428">
        <f t="shared" si="8"/>
      </c>
      <c r="U17" s="428">
        <f t="shared" si="9"/>
      </c>
      <c r="V17" s="116"/>
      <c r="W17" s="428">
        <f t="shared" si="10"/>
      </c>
    </row>
    <row r="18" spans="2:23" ht="14.4">
      <c r="B18" s="113" t="s">
        <v>664</v>
      </c>
      <c r="C18" s="108" t="s">
        <v>1744</v>
      </c>
      <c r="D18" s="114" t="s">
        <v>1883</v>
      </c>
      <c r="E18" s="115">
        <v>11</v>
      </c>
      <c r="F18" s="115">
        <v>24</v>
      </c>
      <c r="G18" s="428">
        <f t="shared" si="1"/>
      </c>
      <c r="H18" s="429">
        <f t="shared" si="2"/>
      </c>
      <c r="I18" s="118"/>
      <c r="J18" s="119">
        <v>0</v>
      </c>
      <c r="K18" s="428">
        <f t="shared" si="3"/>
      </c>
      <c r="L18" s="428">
        <f t="shared" si="4"/>
      </c>
      <c r="M18" s="118"/>
      <c r="N18" s="119">
        <v>0</v>
      </c>
      <c r="O18" s="428">
        <f t="shared" si="5"/>
      </c>
      <c r="P18" s="428">
        <f t="shared" si="6"/>
      </c>
      <c r="Q18" s="118"/>
      <c r="R18" s="119">
        <v>0</v>
      </c>
      <c r="S18" s="428">
        <f t="shared" si="7"/>
      </c>
      <c r="T18" s="428">
        <f t="shared" si="8"/>
      </c>
      <c r="U18" s="428">
        <f t="shared" si="9"/>
      </c>
      <c r="V18" s="116"/>
      <c r="W18" s="428">
        <f t="shared" si="10"/>
      </c>
    </row>
    <row r="19" spans="2:23" ht="14.4">
      <c r="B19" s="113" t="s">
        <v>667</v>
      </c>
      <c r="C19" s="108" t="s">
        <v>1744</v>
      </c>
      <c r="D19" s="114" t="s">
        <v>1883</v>
      </c>
      <c r="E19" s="431">
        <f t="shared" ref="E19:F19" si="11">E18</f>
      </c>
      <c r="F19" s="431">
        <v>24</v>
      </c>
      <c r="G19" s="428">
        <f t="shared" si="1"/>
      </c>
      <c r="H19" s="429">
        <f t="shared" si="2"/>
      </c>
      <c r="I19" s="118"/>
      <c r="J19" s="119">
        <v>0</v>
      </c>
      <c r="K19" s="428">
        <f t="shared" si="3"/>
      </c>
      <c r="L19" s="428">
        <f t="shared" si="4"/>
      </c>
      <c r="M19" s="118"/>
      <c r="N19" s="119">
        <v>0</v>
      </c>
      <c r="O19" s="428">
        <f t="shared" si="5"/>
      </c>
      <c r="P19" s="428">
        <f t="shared" si="6"/>
      </c>
      <c r="Q19" s="118"/>
      <c r="R19" s="119">
        <v>0</v>
      </c>
      <c r="S19" s="428">
        <f t="shared" si="7"/>
      </c>
      <c r="T19" s="428">
        <f t="shared" si="8"/>
      </c>
      <c r="U19" s="428">
        <f t="shared" si="9"/>
      </c>
      <c r="V19" s="116"/>
      <c r="W19" s="428">
        <f t="shared" si="10"/>
      </c>
    </row>
    <row r="20" spans="2:23" ht="14.4">
      <c r="B20" s="113" t="s">
        <v>669</v>
      </c>
      <c r="C20" s="108" t="s">
        <v>1884</v>
      </c>
      <c r="D20" s="114" t="s">
        <v>1883</v>
      </c>
      <c r="E20" s="115">
        <v>27</v>
      </c>
      <c r="F20" s="115">
        <v>58</v>
      </c>
      <c r="G20" s="428">
        <f t="shared" si="1"/>
      </c>
      <c r="H20" s="429">
        <f t="shared" si="2"/>
      </c>
      <c r="I20" s="118"/>
      <c r="J20" s="119">
        <v>0</v>
      </c>
      <c r="K20" s="428">
        <f t="shared" si="3"/>
      </c>
      <c r="L20" s="428">
        <f t="shared" si="4"/>
      </c>
      <c r="M20" s="118"/>
      <c r="N20" s="119">
        <v>0</v>
      </c>
      <c r="O20" s="428">
        <f t="shared" si="5"/>
      </c>
      <c r="P20" s="428">
        <f t="shared" si="6"/>
      </c>
      <c r="Q20" s="118"/>
      <c r="R20" s="119">
        <v>0</v>
      </c>
      <c r="S20" s="428">
        <f t="shared" si="7"/>
      </c>
      <c r="T20" s="428">
        <f t="shared" si="8"/>
      </c>
      <c r="U20" s="428">
        <f t="shared" si="9"/>
      </c>
      <c r="V20" s="116"/>
      <c r="W20" s="428">
        <f t="shared" si="10"/>
      </c>
    </row>
    <row r="21" spans="2:23" ht="14.4">
      <c r="B21" s="113" t="s">
        <v>669</v>
      </c>
      <c r="C21" s="108" t="s">
        <v>419</v>
      </c>
      <c r="D21" s="114" t="s">
        <v>1883</v>
      </c>
      <c r="E21" s="431">
        <f t="shared" ref="E21:F35" si="12">E20</f>
      </c>
      <c r="F21" s="431">
        <v>58</v>
      </c>
      <c r="G21" s="428">
        <f t="shared" si="1"/>
      </c>
      <c r="H21" s="429">
        <f t="shared" si="2"/>
      </c>
      <c r="I21" s="118"/>
      <c r="J21" s="119">
        <v>0</v>
      </c>
      <c r="K21" s="428">
        <f t="shared" si="3"/>
      </c>
      <c r="L21" s="428">
        <f t="shared" si="4"/>
      </c>
      <c r="M21" s="118"/>
      <c r="N21" s="119">
        <v>0</v>
      </c>
      <c r="O21" s="428">
        <f t="shared" si="5"/>
      </c>
      <c r="P21" s="428">
        <f t="shared" si="6"/>
      </c>
      <c r="Q21" s="118"/>
      <c r="R21" s="119">
        <v>0</v>
      </c>
      <c r="S21" s="428">
        <f t="shared" si="7"/>
      </c>
      <c r="T21" s="428">
        <f t="shared" si="8"/>
      </c>
      <c r="U21" s="428">
        <f t="shared" si="9"/>
      </c>
      <c r="V21" s="116"/>
      <c r="W21" s="428">
        <f t="shared" si="10"/>
      </c>
    </row>
    <row r="22" spans="2:23" ht="15.75" customHeight="1">
      <c r="B22" s="113" t="s">
        <v>669</v>
      </c>
      <c r="C22" s="108" t="s">
        <v>1885</v>
      </c>
      <c r="D22" s="114" t="s">
        <v>1883</v>
      </c>
      <c r="E22" s="431">
        <v>27</v>
      </c>
      <c r="F22" s="431">
        <v>58</v>
      </c>
      <c r="G22" s="428">
        <f t="shared" si="1"/>
      </c>
      <c r="H22" s="429">
        <f t="shared" si="2"/>
      </c>
      <c r="I22" s="118"/>
      <c r="J22" s="119">
        <v>0</v>
      </c>
      <c r="K22" s="428">
        <f t="shared" si="3"/>
      </c>
      <c r="L22" s="428">
        <f t="shared" si="4"/>
      </c>
      <c r="M22" s="118"/>
      <c r="N22" s="119">
        <v>0</v>
      </c>
      <c r="O22" s="428">
        <f t="shared" si="5"/>
      </c>
      <c r="P22" s="428">
        <f t="shared" si="6"/>
      </c>
      <c r="Q22" s="118"/>
      <c r="R22" s="119">
        <v>0</v>
      </c>
      <c r="S22" s="428">
        <f t="shared" si="7"/>
      </c>
      <c r="T22" s="428">
        <f t="shared" si="8"/>
      </c>
      <c r="U22" s="428">
        <f t="shared" si="9"/>
      </c>
      <c r="V22" s="116"/>
      <c r="W22" s="428">
        <f t="shared" si="10"/>
      </c>
    </row>
    <row r="23" spans="2:23" ht="15.75" customHeight="1">
      <c r="B23" s="113" t="s">
        <v>669</v>
      </c>
      <c r="C23" s="108" t="s">
        <v>1886</v>
      </c>
      <c r="D23" s="114" t="s">
        <v>1883</v>
      </c>
      <c r="E23" s="431">
        <v>27</v>
      </c>
      <c r="F23" s="431">
        <v>58</v>
      </c>
      <c r="G23" s="428">
        <f t="shared" si="1"/>
      </c>
      <c r="H23" s="429">
        <f t="shared" si="2"/>
      </c>
      <c r="I23" s="118"/>
      <c r="J23" s="119">
        <v>0</v>
      </c>
      <c r="K23" s="428">
        <f t="shared" si="3"/>
      </c>
      <c r="L23" s="428">
        <f t="shared" si="4"/>
      </c>
      <c r="M23" s="118"/>
      <c r="N23" s="119">
        <v>0</v>
      </c>
      <c r="O23" s="428">
        <f t="shared" si="5"/>
      </c>
      <c r="P23" s="428">
        <f t="shared" si="6"/>
      </c>
      <c r="Q23" s="118"/>
      <c r="R23" s="119">
        <v>0</v>
      </c>
      <c r="S23" s="428">
        <f t="shared" si="7"/>
      </c>
      <c r="T23" s="428">
        <f t="shared" si="8"/>
      </c>
      <c r="U23" s="428">
        <f t="shared" si="9"/>
      </c>
      <c r="V23" s="116"/>
      <c r="W23" s="428">
        <f t="shared" si="10"/>
      </c>
    </row>
    <row r="24" spans="2:23" ht="15.75" customHeight="1">
      <c r="B24" s="113" t="s">
        <v>669</v>
      </c>
      <c r="C24" s="108" t="s">
        <v>1887</v>
      </c>
      <c r="D24" s="114" t="s">
        <v>1883</v>
      </c>
      <c r="E24" s="431">
        <v>27</v>
      </c>
      <c r="F24" s="431">
        <v>58</v>
      </c>
      <c r="G24" s="428">
        <f t="shared" si="1"/>
      </c>
      <c r="H24" s="429">
        <f t="shared" si="2"/>
      </c>
      <c r="I24" s="118"/>
      <c r="J24" s="119">
        <v>0</v>
      </c>
      <c r="K24" s="428">
        <f t="shared" si="3"/>
      </c>
      <c r="L24" s="428">
        <f t="shared" si="4"/>
      </c>
      <c r="M24" s="118"/>
      <c r="N24" s="119">
        <v>0</v>
      </c>
      <c r="O24" s="428">
        <f t="shared" si="5"/>
      </c>
      <c r="P24" s="428">
        <f t="shared" si="6"/>
      </c>
      <c r="Q24" s="118"/>
      <c r="R24" s="119">
        <v>0</v>
      </c>
      <c r="S24" s="428">
        <f t="shared" si="7"/>
      </c>
      <c r="T24" s="428">
        <f t="shared" si="8"/>
      </c>
      <c r="U24" s="428">
        <f t="shared" si="9"/>
      </c>
      <c r="V24" s="116"/>
      <c r="W24" s="428">
        <f t="shared" si="10"/>
      </c>
    </row>
    <row r="25" spans="2:23" ht="15.75" customHeight="1">
      <c r="B25" s="113" t="s">
        <v>669</v>
      </c>
      <c r="C25" s="108" t="s">
        <v>1887</v>
      </c>
      <c r="D25" s="114" t="s">
        <v>1883</v>
      </c>
      <c r="E25" s="431">
        <v>27</v>
      </c>
      <c r="F25" s="431">
        <v>58</v>
      </c>
      <c r="G25" s="428">
        <f t="shared" si="1"/>
      </c>
      <c r="H25" s="429">
        <f t="shared" si="2"/>
      </c>
      <c r="I25" s="118"/>
      <c r="J25" s="119">
        <v>0</v>
      </c>
      <c r="K25" s="428">
        <f t="shared" si="3"/>
      </c>
      <c r="L25" s="428">
        <f t="shared" si="4"/>
      </c>
      <c r="M25" s="118"/>
      <c r="N25" s="119">
        <v>0</v>
      </c>
      <c r="O25" s="428">
        <f t="shared" si="5"/>
      </c>
      <c r="P25" s="428">
        <f t="shared" si="6"/>
      </c>
      <c r="Q25" s="118"/>
      <c r="R25" s="119">
        <v>0</v>
      </c>
      <c r="S25" s="428">
        <f t="shared" si="7"/>
      </c>
      <c r="T25" s="428">
        <f t="shared" si="8"/>
      </c>
      <c r="U25" s="428">
        <f t="shared" si="9"/>
      </c>
      <c r="V25" s="116"/>
      <c r="W25" s="428">
        <f t="shared" si="10"/>
      </c>
    </row>
    <row r="26" spans="2:23" ht="15.75" customHeight="1">
      <c r="B26" s="113" t="s">
        <v>669</v>
      </c>
      <c r="C26" s="108" t="s">
        <v>1888</v>
      </c>
      <c r="D26" s="114" t="s">
        <v>1883</v>
      </c>
      <c r="E26" s="431">
        <v>27</v>
      </c>
      <c r="F26" s="431">
        <v>58</v>
      </c>
      <c r="G26" s="428">
        <f t="shared" si="1"/>
      </c>
      <c r="H26" s="429">
        <f t="shared" si="2"/>
      </c>
      <c r="I26" s="118"/>
      <c r="J26" s="119">
        <v>0</v>
      </c>
      <c r="K26" s="428">
        <f t="shared" si="3"/>
      </c>
      <c r="L26" s="428">
        <f t="shared" si="4"/>
      </c>
      <c r="M26" s="118"/>
      <c r="N26" s="119">
        <v>0</v>
      </c>
      <c r="O26" s="428">
        <f t="shared" si="5"/>
      </c>
      <c r="P26" s="428">
        <f t="shared" si="6"/>
      </c>
      <c r="Q26" s="118"/>
      <c r="R26" s="119">
        <v>0</v>
      </c>
      <c r="S26" s="428">
        <f t="shared" si="7"/>
      </c>
      <c r="T26" s="428">
        <f t="shared" si="8"/>
      </c>
      <c r="U26" s="428">
        <f t="shared" si="9"/>
      </c>
      <c r="V26" s="116"/>
      <c r="W26" s="428">
        <f t="shared" si="10"/>
      </c>
    </row>
    <row r="27" spans="2:23" ht="15.75" customHeight="1">
      <c r="B27" s="113" t="s">
        <v>669</v>
      </c>
      <c r="C27" s="108" t="s">
        <v>1889</v>
      </c>
      <c r="D27" s="114" t="s">
        <v>1883</v>
      </c>
      <c r="E27" s="431">
        <v>27</v>
      </c>
      <c r="F27" s="431">
        <v>58</v>
      </c>
      <c r="G27" s="428">
        <f t="shared" si="1"/>
      </c>
      <c r="H27" s="429">
        <f t="shared" si="2"/>
      </c>
      <c r="I27" s="118"/>
      <c r="J27" s="119">
        <v>0</v>
      </c>
      <c r="K27" s="428">
        <f t="shared" si="3"/>
      </c>
      <c r="L27" s="428">
        <f t="shared" si="4"/>
      </c>
      <c r="M27" s="118"/>
      <c r="N27" s="119">
        <v>0</v>
      </c>
      <c r="O27" s="428">
        <f t="shared" si="5"/>
      </c>
      <c r="P27" s="428">
        <f t="shared" si="6"/>
      </c>
      <c r="Q27" s="118"/>
      <c r="R27" s="119">
        <v>0</v>
      </c>
      <c r="S27" s="428">
        <f t="shared" si="7"/>
      </c>
      <c r="T27" s="428">
        <f t="shared" si="8"/>
      </c>
      <c r="U27" s="428">
        <f t="shared" si="9"/>
      </c>
      <c r="V27" s="116"/>
      <c r="W27" s="428">
        <f t="shared" si="10"/>
      </c>
    </row>
    <row r="28" spans="2:23" ht="15.75" customHeight="1">
      <c r="B28" s="113" t="s">
        <v>671</v>
      </c>
      <c r="C28" s="108" t="s">
        <v>1884</v>
      </c>
      <c r="D28" s="114" t="s">
        <v>1883</v>
      </c>
      <c r="E28" s="431">
        <v>27</v>
      </c>
      <c r="F28" s="431">
        <v>58</v>
      </c>
      <c r="G28" s="428">
        <f t="shared" si="1"/>
      </c>
      <c r="H28" s="429">
        <f t="shared" si="2"/>
      </c>
      <c r="I28" s="118"/>
      <c r="J28" s="119">
        <v>0</v>
      </c>
      <c r="K28" s="428">
        <f t="shared" si="3"/>
      </c>
      <c r="L28" s="428">
        <f t="shared" si="4"/>
      </c>
      <c r="M28" s="118"/>
      <c r="N28" s="119">
        <v>0</v>
      </c>
      <c r="O28" s="428">
        <f t="shared" si="5"/>
      </c>
      <c r="P28" s="428">
        <f t="shared" si="6"/>
      </c>
      <c r="Q28" s="118"/>
      <c r="R28" s="119">
        <v>0</v>
      </c>
      <c r="S28" s="428">
        <f t="shared" si="7"/>
      </c>
      <c r="T28" s="428">
        <f t="shared" si="8"/>
      </c>
      <c r="U28" s="428">
        <f t="shared" si="9"/>
      </c>
      <c r="V28" s="116"/>
      <c r="W28" s="428">
        <f t="shared" si="10"/>
      </c>
    </row>
    <row r="29" spans="2:23" ht="15.75" customHeight="1">
      <c r="B29" s="113" t="s">
        <v>671</v>
      </c>
      <c r="C29" s="108" t="s">
        <v>419</v>
      </c>
      <c r="D29" s="114" t="s">
        <v>1883</v>
      </c>
      <c r="E29" s="431">
        <v>27</v>
      </c>
      <c r="F29" s="431">
        <v>58</v>
      </c>
      <c r="G29" s="428">
        <f t="shared" si="1"/>
      </c>
      <c r="H29" s="429">
        <f t="shared" si="2"/>
      </c>
      <c r="I29" s="118"/>
      <c r="J29" s="119">
        <v>0</v>
      </c>
      <c r="K29" s="428">
        <f t="shared" si="3"/>
      </c>
      <c r="L29" s="428">
        <f t="shared" si="4"/>
      </c>
      <c r="M29" s="118"/>
      <c r="N29" s="119">
        <v>0</v>
      </c>
      <c r="O29" s="428">
        <f t="shared" si="5"/>
      </c>
      <c r="P29" s="428">
        <f t="shared" si="6"/>
      </c>
      <c r="Q29" s="118"/>
      <c r="R29" s="119">
        <v>0</v>
      </c>
      <c r="S29" s="428">
        <f t="shared" si="7"/>
      </c>
      <c r="T29" s="428">
        <f t="shared" si="8"/>
      </c>
      <c r="U29" s="428">
        <f t="shared" si="9"/>
      </c>
      <c r="V29" s="116"/>
      <c r="W29" s="428">
        <f t="shared" si="10"/>
      </c>
    </row>
    <row r="30" spans="2:23" ht="15.75" customHeight="1">
      <c r="B30" s="113" t="s">
        <v>671</v>
      </c>
      <c r="C30" s="108" t="s">
        <v>1885</v>
      </c>
      <c r="D30" s="114" t="s">
        <v>1883</v>
      </c>
      <c r="E30" s="431">
        <v>27</v>
      </c>
      <c r="F30" s="431">
        <v>58</v>
      </c>
      <c r="G30" s="428">
        <f t="shared" si="1"/>
      </c>
      <c r="H30" s="429">
        <f t="shared" si="2"/>
      </c>
      <c r="I30" s="118"/>
      <c r="J30" s="119">
        <v>0</v>
      </c>
      <c r="K30" s="428">
        <f t="shared" si="3"/>
      </c>
      <c r="L30" s="428">
        <f t="shared" si="4"/>
      </c>
      <c r="M30" s="118"/>
      <c r="N30" s="119">
        <v>0</v>
      </c>
      <c r="O30" s="428">
        <f t="shared" si="5"/>
      </c>
      <c r="P30" s="428">
        <f t="shared" si="6"/>
      </c>
      <c r="Q30" s="118"/>
      <c r="R30" s="119">
        <v>0</v>
      </c>
      <c r="S30" s="428">
        <f t="shared" si="7"/>
      </c>
      <c r="T30" s="428">
        <f t="shared" si="8"/>
      </c>
      <c r="U30" s="428">
        <f t="shared" si="9"/>
      </c>
      <c r="V30" s="116"/>
      <c r="W30" s="428">
        <f t="shared" si="10"/>
      </c>
    </row>
    <row r="31" spans="2:23" ht="15.75" customHeight="1">
      <c r="B31" s="113" t="s">
        <v>671</v>
      </c>
      <c r="C31" s="108" t="s">
        <v>1886</v>
      </c>
      <c r="D31" s="114" t="s">
        <v>1883</v>
      </c>
      <c r="E31" s="431">
        <v>27</v>
      </c>
      <c r="F31" s="431">
        <v>58</v>
      </c>
      <c r="G31" s="428">
        <f t="shared" si="1"/>
      </c>
      <c r="H31" s="429">
        <f t="shared" si="2"/>
      </c>
      <c r="I31" s="118"/>
      <c r="J31" s="119">
        <v>0</v>
      </c>
      <c r="K31" s="428">
        <f t="shared" si="3"/>
      </c>
      <c r="L31" s="428">
        <f t="shared" si="4"/>
      </c>
      <c r="M31" s="118"/>
      <c r="N31" s="119">
        <v>0</v>
      </c>
      <c r="O31" s="428">
        <f t="shared" si="5"/>
      </c>
      <c r="P31" s="428">
        <f t="shared" si="6"/>
      </c>
      <c r="Q31" s="118"/>
      <c r="R31" s="119">
        <v>0</v>
      </c>
      <c r="S31" s="428">
        <f t="shared" si="7"/>
      </c>
      <c r="T31" s="428">
        <f t="shared" si="8"/>
      </c>
      <c r="U31" s="428">
        <f t="shared" si="9"/>
      </c>
      <c r="V31" s="116"/>
      <c r="W31" s="428">
        <f t="shared" si="10"/>
      </c>
    </row>
    <row r="32" spans="2:23" ht="15.75" customHeight="1">
      <c r="B32" s="113" t="s">
        <v>671</v>
      </c>
      <c r="C32" s="108" t="s">
        <v>1887</v>
      </c>
      <c r="D32" s="114" t="s">
        <v>1883</v>
      </c>
      <c r="E32" s="431">
        <v>27</v>
      </c>
      <c r="F32" s="431">
        <v>58</v>
      </c>
      <c r="G32" s="428">
        <f t="shared" si="1"/>
      </c>
      <c r="H32" s="429">
        <f t="shared" si="2"/>
      </c>
      <c r="I32" s="118"/>
      <c r="J32" s="119">
        <v>0</v>
      </c>
      <c r="K32" s="428">
        <f t="shared" si="3"/>
      </c>
      <c r="L32" s="428">
        <f t="shared" si="4"/>
      </c>
      <c r="M32" s="118"/>
      <c r="N32" s="119">
        <v>0</v>
      </c>
      <c r="O32" s="428">
        <f t="shared" si="5"/>
      </c>
      <c r="P32" s="428">
        <f t="shared" si="6"/>
      </c>
      <c r="Q32" s="118"/>
      <c r="R32" s="119">
        <v>0</v>
      </c>
      <c r="S32" s="428">
        <f t="shared" si="7"/>
      </c>
      <c r="T32" s="428">
        <f t="shared" si="8"/>
      </c>
      <c r="U32" s="428">
        <f t="shared" si="9"/>
      </c>
      <c r="V32" s="116"/>
      <c r="W32" s="428">
        <f t="shared" si="10"/>
      </c>
    </row>
    <row r="33" spans="2:23" ht="15.75" customHeight="1">
      <c r="B33" s="113" t="s">
        <v>671</v>
      </c>
      <c r="C33" s="108" t="s">
        <v>1887</v>
      </c>
      <c r="D33" s="114" t="s">
        <v>1883</v>
      </c>
      <c r="E33" s="431">
        <v>27</v>
      </c>
      <c r="F33" s="431">
        <v>58</v>
      </c>
      <c r="G33" s="428">
        <f t="shared" si="1"/>
      </c>
      <c r="H33" s="429">
        <f t="shared" si="2"/>
      </c>
      <c r="I33" s="118"/>
      <c r="J33" s="119">
        <v>0</v>
      </c>
      <c r="K33" s="428">
        <f t="shared" si="3"/>
      </c>
      <c r="L33" s="428">
        <f t="shared" si="4"/>
      </c>
      <c r="M33" s="118"/>
      <c r="N33" s="119">
        <v>0</v>
      </c>
      <c r="O33" s="428">
        <f t="shared" si="5"/>
      </c>
      <c r="P33" s="428">
        <f t="shared" si="6"/>
      </c>
      <c r="Q33" s="118"/>
      <c r="R33" s="119">
        <v>0</v>
      </c>
      <c r="S33" s="428">
        <f t="shared" si="7"/>
      </c>
      <c r="T33" s="428">
        <f t="shared" si="8"/>
      </c>
      <c r="U33" s="428">
        <f t="shared" si="9"/>
      </c>
      <c r="V33" s="116"/>
      <c r="W33" s="428">
        <f t="shared" si="10"/>
      </c>
    </row>
    <row r="34" spans="2:23" ht="15.75" customHeight="1">
      <c r="B34" s="113" t="s">
        <v>671</v>
      </c>
      <c r="C34" s="108" t="s">
        <v>1888</v>
      </c>
      <c r="D34" s="114" t="s">
        <v>1883</v>
      </c>
      <c r="E34" s="431">
        <v>27</v>
      </c>
      <c r="F34" s="431">
        <v>58</v>
      </c>
      <c r="G34" s="428">
        <f t="shared" si="1"/>
      </c>
      <c r="H34" s="429">
        <f t="shared" si="2"/>
      </c>
      <c r="I34" s="118"/>
      <c r="J34" s="119">
        <v>0</v>
      </c>
      <c r="K34" s="428">
        <f t="shared" si="3"/>
      </c>
      <c r="L34" s="428">
        <f t="shared" si="4"/>
      </c>
      <c r="M34" s="118"/>
      <c r="N34" s="119">
        <v>0</v>
      </c>
      <c r="O34" s="428">
        <f t="shared" si="5"/>
      </c>
      <c r="P34" s="428">
        <f t="shared" si="6"/>
      </c>
      <c r="Q34" s="118"/>
      <c r="R34" s="119">
        <v>0</v>
      </c>
      <c r="S34" s="428">
        <f t="shared" si="7"/>
      </c>
      <c r="T34" s="428">
        <f t="shared" si="8"/>
      </c>
      <c r="U34" s="428">
        <f t="shared" si="9"/>
      </c>
      <c r="V34" s="116"/>
      <c r="W34" s="428">
        <f t="shared" si="10"/>
      </c>
    </row>
    <row r="35" spans="2:23" ht="15.75" customHeight="1">
      <c r="B35" s="113" t="s">
        <v>671</v>
      </c>
      <c r="C35" s="108" t="s">
        <v>1889</v>
      </c>
      <c r="D35" s="114" t="s">
        <v>1883</v>
      </c>
      <c r="E35" s="431">
        <v>27</v>
      </c>
      <c r="F35" s="431">
        <v>58</v>
      </c>
      <c r="G35" s="428">
        <f t="shared" si="1"/>
      </c>
      <c r="H35" s="429">
        <f t="shared" si="2"/>
      </c>
      <c r="I35" s="118"/>
      <c r="J35" s="119">
        <v>0</v>
      </c>
      <c r="K35" s="428">
        <f t="shared" si="3"/>
      </c>
      <c r="L35" s="428">
        <f t="shared" si="4"/>
      </c>
      <c r="M35" s="118"/>
      <c r="N35" s="119">
        <v>0</v>
      </c>
      <c r="O35" s="428">
        <f t="shared" si="5"/>
      </c>
      <c r="P35" s="428">
        <f t="shared" si="6"/>
      </c>
      <c r="Q35" s="118"/>
      <c r="R35" s="119">
        <v>0</v>
      </c>
      <c r="S35" s="428">
        <f t="shared" si="7"/>
      </c>
      <c r="T35" s="428">
        <f t="shared" si="8"/>
      </c>
      <c r="U35" s="428">
        <f t="shared" si="9"/>
      </c>
      <c r="V35" s="116"/>
      <c r="W35" s="428">
        <f t="shared" si="10"/>
      </c>
    </row>
    <row r="36" spans="2:23" ht="15.75" customHeight="1">
      <c r="B36" s="113" t="s">
        <v>673</v>
      </c>
      <c r="C36" s="108" t="s">
        <v>1744</v>
      </c>
      <c r="D36" s="114" t="s">
        <v>1883</v>
      </c>
      <c r="E36" s="115">
        <v>16</v>
      </c>
      <c r="F36" s="115">
        <v>35</v>
      </c>
      <c r="G36" s="428">
        <f t="shared" si="1"/>
      </c>
      <c r="H36" s="429">
        <f t="shared" si="2"/>
      </c>
      <c r="I36" s="118"/>
      <c r="J36" s="119">
        <v>0</v>
      </c>
      <c r="K36" s="428">
        <f t="shared" si="3"/>
      </c>
      <c r="L36" s="428">
        <f t="shared" si="4"/>
      </c>
      <c r="M36" s="118"/>
      <c r="N36" s="119">
        <v>0</v>
      </c>
      <c r="O36" s="428">
        <f t="shared" si="5"/>
      </c>
      <c r="P36" s="428">
        <f t="shared" si="6"/>
      </c>
      <c r="Q36" s="118"/>
      <c r="R36" s="119">
        <v>0</v>
      </c>
      <c r="S36" s="428">
        <f t="shared" si="7"/>
      </c>
      <c r="T36" s="428">
        <f t="shared" si="8"/>
      </c>
      <c r="U36" s="428">
        <f t="shared" si="9"/>
      </c>
      <c r="V36" s="116"/>
      <c r="W36" s="428">
        <f t="shared" si="10"/>
      </c>
    </row>
    <row r="37" spans="2:23" ht="15.75" customHeight="1">
      <c r="B37" s="113" t="s">
        <v>675</v>
      </c>
      <c r="C37" s="108" t="s">
        <v>1884</v>
      </c>
      <c r="D37" s="114" t="s">
        <v>1883</v>
      </c>
      <c r="E37" s="115">
        <v>13</v>
      </c>
      <c r="F37" s="115">
        <v>24</v>
      </c>
      <c r="G37" s="428">
        <f t="shared" si="1"/>
      </c>
      <c r="H37" s="429">
        <f t="shared" si="2"/>
      </c>
      <c r="I37" s="118"/>
      <c r="J37" s="119">
        <v>0</v>
      </c>
      <c r="K37" s="428">
        <f t="shared" si="3"/>
      </c>
      <c r="L37" s="428">
        <f t="shared" si="4"/>
      </c>
      <c r="M37" s="118"/>
      <c r="N37" s="119">
        <v>0</v>
      </c>
      <c r="O37" s="428">
        <f t="shared" si="5"/>
      </c>
      <c r="P37" s="428">
        <f t="shared" si="6"/>
      </c>
      <c r="Q37" s="118"/>
      <c r="R37" s="119">
        <v>0</v>
      </c>
      <c r="S37" s="428">
        <f t="shared" si="7"/>
      </c>
      <c r="T37" s="428">
        <f t="shared" si="8"/>
      </c>
      <c r="U37" s="428">
        <f t="shared" si="9"/>
      </c>
      <c r="V37" s="116"/>
      <c r="W37" s="428">
        <f t="shared" si="10"/>
      </c>
    </row>
    <row r="38" spans="2:23" ht="15.75" customHeight="1">
      <c r="B38" s="113" t="s">
        <v>675</v>
      </c>
      <c r="C38" s="108" t="s">
        <v>419</v>
      </c>
      <c r="D38" s="114" t="s">
        <v>1883</v>
      </c>
      <c r="E38" s="431">
        <f t="shared" ref="E38:F41" si="13">E37</f>
      </c>
      <c r="F38" s="431">
        <v>24</v>
      </c>
      <c r="G38" s="428">
        <f t="shared" si="1"/>
      </c>
      <c r="H38" s="429">
        <f t="shared" si="2"/>
      </c>
      <c r="I38" s="118"/>
      <c r="J38" s="119">
        <v>0</v>
      </c>
      <c r="K38" s="428">
        <f t="shared" si="3"/>
      </c>
      <c r="L38" s="428">
        <f t="shared" si="4"/>
      </c>
      <c r="M38" s="118"/>
      <c r="N38" s="119">
        <v>0</v>
      </c>
      <c r="O38" s="428">
        <f t="shared" si="5"/>
      </c>
      <c r="P38" s="428">
        <f t="shared" si="6"/>
      </c>
      <c r="Q38" s="118"/>
      <c r="R38" s="119">
        <v>0</v>
      </c>
      <c r="S38" s="428">
        <f t="shared" si="7"/>
      </c>
      <c r="T38" s="428">
        <f t="shared" si="8"/>
      </c>
      <c r="U38" s="428">
        <f t="shared" si="9"/>
      </c>
      <c r="V38" s="116"/>
      <c r="W38" s="428">
        <f t="shared" si="10"/>
      </c>
    </row>
    <row r="39" spans="2:23" ht="15.75" customHeight="1">
      <c r="B39" s="113" t="s">
        <v>677</v>
      </c>
      <c r="C39" s="108" t="s">
        <v>1890</v>
      </c>
      <c r="D39" s="114" t="s">
        <v>1883</v>
      </c>
      <c r="E39" s="431">
        <v>13</v>
      </c>
      <c r="F39" s="431">
        <v>28</v>
      </c>
      <c r="G39" s="428">
        <f t="shared" si="1"/>
      </c>
      <c r="H39" s="429">
        <f t="shared" si="2"/>
      </c>
      <c r="I39" s="118"/>
      <c r="J39" s="119">
        <v>0</v>
      </c>
      <c r="K39" s="428">
        <f t="shared" si="3"/>
      </c>
      <c r="L39" s="428">
        <f t="shared" si="4"/>
      </c>
      <c r="M39" s="118"/>
      <c r="N39" s="119">
        <v>0</v>
      </c>
      <c r="O39" s="428">
        <f t="shared" si="5"/>
      </c>
      <c r="P39" s="428">
        <f t="shared" si="6"/>
      </c>
      <c r="Q39" s="118"/>
      <c r="R39" s="119">
        <v>0</v>
      </c>
      <c r="S39" s="428">
        <f t="shared" si="7"/>
      </c>
      <c r="T39" s="428">
        <f t="shared" si="8"/>
      </c>
      <c r="U39" s="428">
        <f t="shared" si="9"/>
      </c>
      <c r="V39" s="116"/>
      <c r="W39" s="428">
        <f t="shared" si="10"/>
      </c>
    </row>
    <row r="40" spans="2:23" ht="15.75" customHeight="1">
      <c r="B40" s="113" t="s">
        <v>677</v>
      </c>
      <c r="C40" s="108" t="s">
        <v>1891</v>
      </c>
      <c r="D40" s="114" t="s">
        <v>1883</v>
      </c>
      <c r="E40" s="431">
        <v>13</v>
      </c>
      <c r="F40" s="431">
        <v>28</v>
      </c>
      <c r="G40" s="428">
        <f t="shared" si="1"/>
      </c>
      <c r="H40" s="429">
        <f t="shared" si="2"/>
      </c>
      <c r="I40" s="118"/>
      <c r="J40" s="119">
        <v>0</v>
      </c>
      <c r="K40" s="428">
        <f t="shared" si="3"/>
      </c>
      <c r="L40" s="428">
        <f t="shared" si="4"/>
      </c>
      <c r="M40" s="118"/>
      <c r="N40" s="119">
        <v>0</v>
      </c>
      <c r="O40" s="428">
        <f t="shared" si="5"/>
      </c>
      <c r="P40" s="428">
        <f t="shared" si="6"/>
      </c>
      <c r="Q40" s="118"/>
      <c r="R40" s="119">
        <v>0</v>
      </c>
      <c r="S40" s="428">
        <f t="shared" si="7"/>
      </c>
      <c r="T40" s="428">
        <f t="shared" si="8"/>
      </c>
      <c r="U40" s="428">
        <f t="shared" si="9"/>
      </c>
      <c r="V40" s="116"/>
      <c r="W40" s="428">
        <f t="shared" si="10"/>
      </c>
    </row>
    <row r="41" spans="2:23" ht="15.75" customHeight="1">
      <c r="B41" s="113" t="s">
        <v>677</v>
      </c>
      <c r="C41" s="108" t="s">
        <v>1884</v>
      </c>
      <c r="D41" s="114" t="s">
        <v>1883</v>
      </c>
      <c r="E41" s="431">
        <v>13</v>
      </c>
      <c r="F41" s="431">
        <v>28</v>
      </c>
      <c r="G41" s="428">
        <f t="shared" si="1"/>
      </c>
      <c r="H41" s="429">
        <f t="shared" si="2"/>
      </c>
      <c r="I41" s="118"/>
      <c r="J41" s="119">
        <v>0</v>
      </c>
      <c r="K41" s="428">
        <f t="shared" si="3"/>
      </c>
      <c r="L41" s="428">
        <f t="shared" si="4"/>
      </c>
      <c r="M41" s="118"/>
      <c r="N41" s="119">
        <v>0</v>
      </c>
      <c r="O41" s="428">
        <f t="shared" si="5"/>
      </c>
      <c r="P41" s="428">
        <f t="shared" si="6"/>
      </c>
      <c r="Q41" s="118"/>
      <c r="R41" s="119">
        <v>0</v>
      </c>
      <c r="S41" s="428">
        <f t="shared" si="7"/>
      </c>
      <c r="T41" s="428">
        <f t="shared" si="8"/>
      </c>
      <c r="U41" s="428">
        <f t="shared" si="9"/>
      </c>
      <c r="V41" s="116"/>
      <c r="W41" s="428">
        <f t="shared" si="10"/>
      </c>
    </row>
    <row r="42" spans="2:23" ht="15.75" customHeight="1">
      <c r="B42" s="113" t="s">
        <v>679</v>
      </c>
      <c r="C42" s="108" t="s">
        <v>1884</v>
      </c>
      <c r="D42" s="114" t="s">
        <v>1883</v>
      </c>
      <c r="E42" s="115">
        <v>9</v>
      </c>
      <c r="F42" s="115">
        <v>22</v>
      </c>
      <c r="G42" s="428">
        <f t="shared" si="1"/>
      </c>
      <c r="H42" s="429">
        <f t="shared" si="2"/>
      </c>
      <c r="I42" s="118"/>
      <c r="J42" s="119">
        <v>0</v>
      </c>
      <c r="K42" s="428">
        <f t="shared" si="3"/>
      </c>
      <c r="L42" s="428">
        <f t="shared" si="4"/>
      </c>
      <c r="M42" s="118"/>
      <c r="N42" s="119">
        <v>0</v>
      </c>
      <c r="O42" s="428">
        <f t="shared" si="5"/>
      </c>
      <c r="P42" s="428">
        <f t="shared" si="6"/>
      </c>
      <c r="Q42" s="118"/>
      <c r="R42" s="119">
        <v>0</v>
      </c>
      <c r="S42" s="428">
        <f t="shared" si="7"/>
      </c>
      <c r="T42" s="428">
        <f t="shared" si="8"/>
      </c>
      <c r="U42" s="428">
        <f t="shared" si="9"/>
      </c>
      <c r="V42" s="116"/>
      <c r="W42" s="428">
        <f t="shared" si="10"/>
      </c>
    </row>
    <row r="43" spans="2:23" ht="15.75" customHeight="1">
      <c r="B43" s="113" t="s">
        <v>679</v>
      </c>
      <c r="C43" s="108" t="s">
        <v>419</v>
      </c>
      <c r="D43" s="114" t="s">
        <v>1883</v>
      </c>
      <c r="E43" s="431">
        <f t="shared" ref="E43:F46" si="14">E42</f>
      </c>
      <c r="F43" s="431">
        <v>22</v>
      </c>
      <c r="G43" s="428">
        <f t="shared" si="1"/>
      </c>
      <c r="H43" s="429">
        <f t="shared" si="2"/>
      </c>
      <c r="I43" s="118"/>
      <c r="J43" s="119">
        <v>0</v>
      </c>
      <c r="K43" s="428">
        <f t="shared" si="3"/>
      </c>
      <c r="L43" s="428">
        <f t="shared" si="4"/>
      </c>
      <c r="M43" s="118"/>
      <c r="N43" s="119">
        <v>0</v>
      </c>
      <c r="O43" s="428">
        <f t="shared" si="5"/>
      </c>
      <c r="P43" s="428">
        <f t="shared" si="6"/>
      </c>
      <c r="Q43" s="118"/>
      <c r="R43" s="119">
        <v>0</v>
      </c>
      <c r="S43" s="428">
        <f t="shared" si="7"/>
      </c>
      <c r="T43" s="428">
        <f t="shared" si="8"/>
      </c>
      <c r="U43" s="428">
        <f t="shared" si="9"/>
      </c>
      <c r="V43" s="116"/>
      <c r="W43" s="428">
        <f t="shared" si="10"/>
      </c>
    </row>
    <row r="44" spans="2:23" ht="15.75" customHeight="1">
      <c r="B44" s="113" t="s">
        <v>679</v>
      </c>
      <c r="C44" s="108" t="s">
        <v>1885</v>
      </c>
      <c r="D44" s="114" t="s">
        <v>1883</v>
      </c>
      <c r="E44" s="431">
        <v>9</v>
      </c>
      <c r="F44" s="431">
        <v>22</v>
      </c>
      <c r="G44" s="428">
        <f t="shared" si="1"/>
      </c>
      <c r="H44" s="429">
        <f t="shared" si="2"/>
      </c>
      <c r="I44" s="118"/>
      <c r="J44" s="119">
        <v>0</v>
      </c>
      <c r="K44" s="428">
        <f t="shared" si="3"/>
      </c>
      <c r="L44" s="428">
        <f t="shared" si="4"/>
      </c>
      <c r="M44" s="118"/>
      <c r="N44" s="119">
        <v>0</v>
      </c>
      <c r="O44" s="428">
        <f t="shared" si="5"/>
      </c>
      <c r="P44" s="428">
        <f t="shared" si="6"/>
      </c>
      <c r="Q44" s="118"/>
      <c r="R44" s="119">
        <v>0</v>
      </c>
      <c r="S44" s="428">
        <f t="shared" si="7"/>
      </c>
      <c r="T44" s="428">
        <f t="shared" si="8"/>
      </c>
      <c r="U44" s="428">
        <f t="shared" si="9"/>
      </c>
      <c r="V44" s="116"/>
      <c r="W44" s="428">
        <f t="shared" si="10"/>
      </c>
    </row>
    <row r="45" spans="2:23" ht="15.75" customHeight="1">
      <c r="B45" s="113" t="s">
        <v>679</v>
      </c>
      <c r="C45" s="108" t="s">
        <v>1886</v>
      </c>
      <c r="D45" s="114" t="s">
        <v>1883</v>
      </c>
      <c r="E45" s="431">
        <v>9</v>
      </c>
      <c r="F45" s="431">
        <v>22</v>
      </c>
      <c r="G45" s="428">
        <f t="shared" si="1"/>
      </c>
      <c r="H45" s="429">
        <f t="shared" si="2"/>
      </c>
      <c r="I45" s="118"/>
      <c r="J45" s="119">
        <v>0</v>
      </c>
      <c r="K45" s="428">
        <f t="shared" si="3"/>
      </c>
      <c r="L45" s="428">
        <f t="shared" si="4"/>
      </c>
      <c r="M45" s="118"/>
      <c r="N45" s="119">
        <v>0</v>
      </c>
      <c r="O45" s="428">
        <f t="shared" si="5"/>
      </c>
      <c r="P45" s="428">
        <f t="shared" si="6"/>
      </c>
      <c r="Q45" s="118"/>
      <c r="R45" s="119">
        <v>0</v>
      </c>
      <c r="S45" s="428">
        <f t="shared" si="7"/>
      </c>
      <c r="T45" s="428">
        <f t="shared" si="8"/>
      </c>
      <c r="U45" s="428">
        <f t="shared" si="9"/>
      </c>
      <c r="V45" s="116"/>
      <c r="W45" s="428">
        <f t="shared" si="10"/>
      </c>
    </row>
    <row r="46" spans="2:23" ht="15.75" customHeight="1">
      <c r="B46" s="113" t="s">
        <v>679</v>
      </c>
      <c r="C46" s="108" t="s">
        <v>1891</v>
      </c>
      <c r="D46" s="114" t="s">
        <v>1883</v>
      </c>
      <c r="E46" s="431">
        <v>9</v>
      </c>
      <c r="F46" s="431">
        <v>22</v>
      </c>
      <c r="G46" s="428">
        <f t="shared" si="1"/>
      </c>
      <c r="H46" s="429">
        <f t="shared" si="2"/>
      </c>
      <c r="I46" s="118"/>
      <c r="J46" s="119">
        <v>0</v>
      </c>
      <c r="K46" s="428">
        <f t="shared" si="3"/>
      </c>
      <c r="L46" s="428">
        <f t="shared" si="4"/>
      </c>
      <c r="M46" s="118"/>
      <c r="N46" s="119">
        <v>0</v>
      </c>
      <c r="O46" s="428">
        <f t="shared" si="5"/>
      </c>
      <c r="P46" s="428">
        <f t="shared" si="6"/>
      </c>
      <c r="Q46" s="118"/>
      <c r="R46" s="119">
        <v>0</v>
      </c>
      <c r="S46" s="428">
        <f t="shared" si="7"/>
      </c>
      <c r="T46" s="428">
        <f t="shared" si="8"/>
      </c>
      <c r="U46" s="428">
        <f t="shared" si="9"/>
      </c>
      <c r="V46" s="116"/>
      <c r="W46" s="428">
        <f t="shared" si="10"/>
      </c>
    </row>
    <row r="47" spans="2:23" ht="15.75" customHeight="1">
      <c r="B47" s="113" t="s">
        <v>1780</v>
      </c>
      <c r="C47" s="108"/>
      <c r="D47" s="114"/>
      <c r="E47" s="115"/>
      <c r="F47" s="115"/>
      <c r="G47" s="116"/>
      <c r="H47" s="117"/>
      <c r="I47" s="118"/>
      <c r="J47" s="119"/>
      <c r="K47" s="428">
        <f t="shared" si="3"/>
      </c>
      <c r="L47" s="116"/>
      <c r="M47" s="118"/>
      <c r="N47" s="119"/>
      <c r="O47" s="428">
        <f t="shared" si="5"/>
      </c>
      <c r="P47" s="116"/>
      <c r="Q47" s="118"/>
      <c r="R47" s="119"/>
      <c r="S47" s="428">
        <f t="shared" si="7"/>
      </c>
      <c r="T47" s="116"/>
      <c r="U47" s="116"/>
      <c r="V47" s="116"/>
    </row>
    <row r="48" spans="2:23" ht="15.75" customHeight="1">
      <c r="B48" s="109" t="s">
        <v>1892</v>
      </c>
      <c r="C48" s="110"/>
      <c r="D48" s="109"/>
      <c r="E48" s="109"/>
      <c r="F48" s="109"/>
      <c r="G48" s="109"/>
      <c r="H48" s="109"/>
      <c r="I48" s="109"/>
      <c r="J48" s="109"/>
      <c r="K48" s="432">
        <f t="shared" ref="K48:L48" si="15">SUM(K5:K47)</f>
      </c>
      <c r="L48" s="432">
        <f t="shared" si="15"/>
      </c>
      <c r="M48" s="109"/>
      <c r="N48" s="109"/>
      <c r="O48" s="432">
        <f t="shared" ref="O48:P48" si="16">SUM(O5:O47)</f>
      </c>
      <c r="P48" s="432">
        <f t="shared" si="16"/>
      </c>
      <c r="Q48" s="109"/>
      <c r="R48" s="109"/>
      <c r="S48" s="432">
        <f t="shared" ref="S48:U48" si="17">SUM(S5:S47)</f>
      </c>
      <c r="T48" s="432">
        <f t="shared" si="17"/>
      </c>
      <c r="U48" s="432">
        <f t="shared" si="17"/>
      </c>
      <c r="V48" s="123"/>
      <c r="W48" s="432">
        <f>SUM(W5:W47)</f>
      </c>
    </row>
    <row r="49" spans="2:23" ht="3" customHeight="1">
      <c r="B49" s="124"/>
      <c r="C49" s="125"/>
      <c r="D49" s="124"/>
      <c r="E49" s="124"/>
      <c r="F49" s="124"/>
      <c r="G49" s="124"/>
      <c r="H49" s="124"/>
      <c r="I49" s="124"/>
      <c r="J49" s="124"/>
      <c r="K49" s="124"/>
      <c r="L49" s="126"/>
      <c r="M49" s="124"/>
      <c r="N49" s="124"/>
      <c r="O49" s="124"/>
      <c r="P49" s="126"/>
      <c r="Q49" s="124"/>
      <c r="R49" s="124"/>
      <c r="S49" s="124"/>
      <c r="T49" s="126"/>
      <c r="U49" s="126"/>
      <c r="V49" s="126"/>
      <c r="W49" s="127"/>
    </row>
    <row r="50" spans="2:23" ht="15.75" customHeight="1" outlineLevel="1">
      <c r="C50" s="108"/>
      <c r="D50" s="114"/>
    </row>
    <row r="51" spans="2:23" ht="15.75" customHeight="1" outlineLevel="1">
      <c r="B51" s="112" t="s">
        <v>1893</v>
      </c>
      <c r="C51" s="112"/>
      <c r="D51" s="112"/>
      <c r="E51" s="112"/>
      <c r="F51" s="112"/>
      <c r="G51" s="112"/>
      <c r="H51" s="112"/>
      <c r="I51" s="112"/>
      <c r="J51" s="112"/>
      <c r="K51" s="112"/>
      <c r="L51" s="112"/>
      <c r="M51" s="112"/>
      <c r="N51" s="112"/>
      <c r="O51" s="112"/>
      <c r="P51" s="112"/>
      <c r="Q51" s="112"/>
      <c r="R51" s="112"/>
      <c r="S51" s="112"/>
      <c r="T51" s="112"/>
      <c r="U51" s="112"/>
      <c r="V51" s="112"/>
      <c r="W51" s="112"/>
    </row>
    <row r="52" spans="2:23" ht="15.75" customHeight="1" outlineLevel="1">
      <c r="B52" s="128"/>
      <c r="C52" s="128"/>
      <c r="D52" s="128"/>
      <c r="E52" s="118"/>
      <c r="F52" s="118"/>
      <c r="G52" s="118"/>
      <c r="H52" s="118"/>
      <c r="I52" s="129"/>
      <c r="J52" s="433">
        <f t="shared" ref="J52:J54" si="18">J5</f>
      </c>
      <c r="K52" s="129"/>
      <c r="L52" s="130"/>
      <c r="M52" s="433">
        <f t="shared" ref="M52:M54" si="19">I52-J52</f>
      </c>
      <c r="N52" s="433">
        <f t="shared" ref="N52:N54" si="20">N5</f>
      </c>
      <c r="O52" s="129"/>
      <c r="P52" s="130"/>
      <c r="Q52" s="433">
        <f t="shared" ref="Q52:Q54" si="21">M52-N52</f>
      </c>
      <c r="R52" s="433">
        <f t="shared" ref="R52:R54" si="22">R5</f>
      </c>
      <c r="S52" s="129"/>
      <c r="T52" s="130"/>
      <c r="U52" s="130"/>
      <c r="V52" s="130"/>
      <c r="W52" s="433">
        <f t="shared" ref="W52:W54" si="23">Q52-R52</f>
      </c>
    </row>
    <row r="53" spans="2:23" ht="15.75" customHeight="1" outlineLevel="1">
      <c r="B53" s="128"/>
      <c r="C53" s="128"/>
      <c r="D53" s="128"/>
      <c r="E53" s="118"/>
      <c r="F53" s="118"/>
      <c r="G53" s="118"/>
      <c r="H53" s="118"/>
      <c r="I53" s="129"/>
      <c r="J53" s="433">
        <f t="shared" si="18"/>
      </c>
      <c r="K53" s="129"/>
      <c r="L53" s="130"/>
      <c r="M53" s="433">
        <f t="shared" si="19"/>
      </c>
      <c r="N53" s="433">
        <f t="shared" si="20"/>
      </c>
      <c r="O53" s="129"/>
      <c r="P53" s="130"/>
      <c r="Q53" s="433">
        <f t="shared" si="21"/>
      </c>
      <c r="R53" s="433">
        <f t="shared" si="22"/>
      </c>
      <c r="S53" s="129"/>
      <c r="T53" s="130"/>
      <c r="U53" s="130"/>
      <c r="V53" s="130"/>
      <c r="W53" s="433">
        <f t="shared" si="23"/>
      </c>
    </row>
    <row r="54" spans="2:23" ht="15.75" customHeight="1" outlineLevel="1">
      <c r="B54" s="128"/>
      <c r="C54" s="128"/>
      <c r="D54" s="128"/>
      <c r="E54" s="118"/>
      <c r="F54" s="118"/>
      <c r="G54" s="118"/>
      <c r="H54" s="118"/>
      <c r="I54" s="129"/>
      <c r="J54" s="433">
        <f t="shared" si="18"/>
      </c>
      <c r="K54" s="129"/>
      <c r="L54" s="130"/>
      <c r="M54" s="433">
        <f t="shared" si="19"/>
      </c>
      <c r="N54" s="433">
        <f t="shared" si="20"/>
      </c>
      <c r="O54" s="129"/>
      <c r="P54" s="130"/>
      <c r="Q54" s="433">
        <f t="shared" si="21"/>
      </c>
      <c r="R54" s="433">
        <f t="shared" si="22"/>
      </c>
      <c r="S54" s="129"/>
      <c r="T54" s="130"/>
      <c r="U54" s="130"/>
      <c r="V54" s="130"/>
      <c r="W54" s="433">
        <f t="shared" si="23"/>
      </c>
    </row>
    <row r="55" spans="2:23" ht="15.75" customHeight="1" outlineLevel="1">
      <c r="B55" s="131"/>
      <c r="C55" s="128"/>
      <c r="D55" s="128"/>
      <c r="E55" s="118"/>
      <c r="F55" s="118"/>
      <c r="G55" s="118"/>
      <c r="H55" s="118"/>
      <c r="I55" s="129"/>
      <c r="J55" s="108"/>
      <c r="K55" s="108"/>
      <c r="L55" s="130"/>
      <c r="M55" s="108"/>
      <c r="N55" s="129"/>
      <c r="O55" s="129"/>
      <c r="P55" s="130"/>
      <c r="Q55" s="108"/>
      <c r="R55" s="129"/>
      <c r="S55" s="129"/>
      <c r="T55" s="130"/>
      <c r="U55" s="130"/>
      <c r="V55" s="130"/>
      <c r="W55" s="108"/>
    </row>
    <row r="56" spans="2:23" ht="15.75" customHeight="1" outlineLevel="1">
      <c r="B56" s="128"/>
      <c r="C56" s="128"/>
      <c r="D56" s="128"/>
      <c r="E56" s="118"/>
      <c r="F56" s="118"/>
      <c r="G56" s="118"/>
      <c r="H56" s="118"/>
      <c r="I56" s="129"/>
      <c r="J56" s="129"/>
      <c r="K56" s="129"/>
      <c r="L56" s="130"/>
      <c r="M56" s="108"/>
      <c r="N56" s="129"/>
      <c r="O56" s="129"/>
      <c r="P56" s="130"/>
      <c r="Q56" s="108"/>
      <c r="R56" s="129"/>
      <c r="S56" s="129"/>
      <c r="T56" s="130"/>
      <c r="U56" s="130"/>
      <c r="V56" s="130"/>
      <c r="W56" s="108"/>
    </row>
    <row r="57" spans="2:23" ht="15.75" customHeight="1" outlineLevel="1">
      <c r="B57" s="128"/>
      <c r="C57" s="128"/>
      <c r="D57" s="128"/>
      <c r="E57" s="118"/>
      <c r="F57" s="118"/>
      <c r="G57" s="118"/>
      <c r="H57" s="118"/>
      <c r="I57" s="129"/>
      <c r="J57" s="129"/>
      <c r="K57" s="129"/>
      <c r="L57" s="130"/>
      <c r="M57" s="108"/>
      <c r="N57" s="129"/>
      <c r="O57" s="129"/>
      <c r="P57" s="130"/>
      <c r="Q57" s="108"/>
      <c r="R57" s="129"/>
      <c r="S57" s="129"/>
      <c r="T57" s="130"/>
      <c r="U57" s="130"/>
      <c r="V57" s="130"/>
      <c r="W57" s="108"/>
    </row>
    <row r="58" spans="2:23" ht="15.75" customHeight="1" outlineLevel="1">
      <c r="B58" s="131"/>
      <c r="C58" s="128"/>
      <c r="D58" s="128"/>
      <c r="E58" s="118"/>
      <c r="F58" s="118"/>
      <c r="G58" s="118"/>
      <c r="H58" s="118"/>
      <c r="I58" s="129"/>
      <c r="J58" s="108"/>
      <c r="K58" s="108"/>
      <c r="L58" s="130"/>
      <c r="M58" s="108"/>
      <c r="N58" s="129"/>
      <c r="O58" s="129"/>
      <c r="P58" s="130"/>
      <c r="Q58" s="108"/>
      <c r="R58" s="129"/>
      <c r="S58" s="129"/>
      <c r="T58" s="130"/>
      <c r="U58" s="130"/>
      <c r="V58" s="130"/>
      <c r="W58" s="108"/>
    </row>
    <row r="59" spans="2:23" ht="15.75" customHeight="1" outlineLevel="1">
      <c r="B59" s="131"/>
      <c r="C59" s="128"/>
      <c r="D59" s="128"/>
      <c r="E59" s="118"/>
      <c r="F59" s="118"/>
      <c r="G59" s="118"/>
      <c r="H59" s="118"/>
      <c r="I59" s="129"/>
      <c r="J59" s="108"/>
      <c r="K59" s="108"/>
      <c r="L59" s="130"/>
      <c r="M59" s="108"/>
      <c r="N59" s="129"/>
      <c r="O59" s="129"/>
      <c r="P59" s="130"/>
      <c r="Q59" s="108"/>
      <c r="R59" s="129"/>
      <c r="S59" s="129"/>
      <c r="T59" s="130"/>
      <c r="U59" s="130"/>
      <c r="V59" s="130"/>
      <c r="W59" s="108"/>
    </row>
    <row r="60" spans="2:23" ht="15.75" customHeight="1" outlineLevel="1"/>
    <row r="61" spans="2:23" ht="15.75" customHeight="1" outlineLevel="1"/>
    <row r="62" spans="2:23" ht="15.75" customHeight="1" outlineLevel="1"/>
    <row r="63" spans="2:23" ht="15.75" customHeight="1" outlineLevel="1"/>
    <row r="64" spans="2:23" ht="15.75" customHeight="1" outlineLevel="1"/>
    <row r="65" ht="15.75" customHeight="1" outlineLevel="1"/>
    <row r="66" ht="15.75" customHeight="1" outlineLevel="1"/>
    <row r="67" ht="15.75" customHeight="1" outlineLevel="1"/>
    <row r="68" ht="15.75" customHeight="1" outlineLevel="1"/>
    <row r="69" ht="15.75" customHeight="1" outlineLevel="1"/>
    <row r="70" ht="15.75" customHeight="1" outlineLevel="1"/>
    <row r="71" ht="15.75" customHeight="1" outlineLevel="1"/>
    <row r="72" ht="15.75" customHeight="1" outlineLevel="1"/>
    <row r="73" ht="15.75" customHeight="1" outlineLevel="1"/>
    <row r="74" ht="15.75" customHeight="1" outlineLevel="1"/>
    <row r="75" ht="15.75" customHeight="1" outlineLevel="1"/>
    <row r="76" ht="15.75" customHeight="1" outlineLevel="1"/>
    <row r="77" ht="15.75" customHeight="1" outlineLevel="1"/>
    <row r="78" ht="15.75" customHeight="1" outlineLevel="1"/>
    <row r="79" ht="15.75" customHeight="1" outlineLevel="1"/>
    <row r="80" ht="15.75" customHeight="1" outlineLevel="1"/>
    <row r="81" ht="15.75" customHeight="1" outlineLevel="1"/>
    <row r="82" ht="15.75" customHeight="1" outlineLevel="1"/>
    <row r="83" ht="15.75" customHeight="1" outlineLevel="1"/>
    <row r="84" ht="15.75" customHeight="1" outlineLevel="1"/>
    <row r="85" ht="15.75" customHeight="1" outlineLevel="1"/>
    <row r="86" ht="15.75" customHeight="1" outlineLevel="1"/>
    <row r="87" ht="15.75" customHeight="1" outlineLevel="1"/>
    <row r="88" ht="15.75" customHeight="1" outlineLevel="1"/>
    <row r="89" ht="15.75" customHeight="1" outlineLevel="1"/>
    <row r="90" ht="15.75" customHeight="1" outlineLevel="1"/>
    <row r="91" ht="15.75" customHeight="1" outlineLevel="1"/>
    <row r="92" ht="15.75" customHeight="1" outlineLevel="1"/>
    <row r="93" ht="15.75" customHeight="1" outlineLevel="1"/>
    <row r="94" ht="15.75" customHeight="1" outlineLevel="1"/>
    <row r="95" ht="15.75" customHeight="1" outlineLevel="1"/>
    <row r="96" ht="15.75" customHeight="1" outlineLevel="1"/>
    <row r="97" ht="15.75" customHeight="1" outlineLevel="1"/>
    <row r="98" ht="15.75" customHeight="1" outlineLevel="1"/>
    <row r="99" ht="15.75" customHeight="1" outlineLevel="1"/>
    <row r="100" ht="15.75" customHeight="1" outlineLevel="1"/>
    <row r="101" ht="15.75" customHeight="1" outlineLevel="1"/>
    <row r="102" ht="15.75" customHeight="1" outlineLevel="1"/>
    <row r="103" ht="15.75" customHeight="1" outlineLevel="1"/>
    <row r="104" ht="15.75" customHeight="1" outlineLevel="1"/>
    <row r="105" ht="15.75" customHeight="1" outlineLevel="1"/>
    <row r="106" ht="15.75" customHeight="1" outlineLevel="1"/>
    <row r="107" ht="15.75" customHeight="1" outlineLevel="1"/>
    <row r="108" ht="15.75" customHeight="1" outlineLevel="1"/>
    <row r="109" ht="15.75" customHeight="1" outlineLevel="1"/>
    <row r="110" ht="15.75" customHeight="1" outlineLevel="1"/>
    <row r="111" ht="15.75" customHeight="1" outlineLevel="1"/>
    <row r="112" ht="15.75" customHeight="1" outlineLevel="1"/>
    <row r="113" ht="15.75" customHeight="1" outlineLevel="1"/>
    <row r="114" ht="15.75" customHeight="1" outlineLevel="1"/>
    <row r="115" ht="15.75" customHeight="1" outlineLevel="1"/>
    <row r="116" ht="15.75" customHeight="1" outlineLevel="1"/>
    <row r="117" ht="15.75" customHeight="1" outlineLevel="1"/>
    <row r="118" ht="15.75" customHeight="1" outlineLevel="1"/>
    <row r="119" ht="15.75" customHeight="1" outlineLevel="1"/>
    <row r="120" ht="15.75" customHeight="1" outlineLevel="1"/>
    <row r="121" ht="15.75" customHeight="1" outlineLevel="1"/>
    <row r="122" ht="15.75" customHeight="1" outlineLevel="1"/>
    <row r="123" ht="15.75" customHeight="1" outlineLevel="1"/>
    <row r="124" ht="15.75" customHeight="1" outlineLevel="1"/>
    <row r="125" ht="15.75" customHeight="1" outlineLevel="1"/>
    <row r="126" ht="15.75" customHeight="1" outlineLevel="1"/>
    <row r="127" ht="15.75" customHeight="1" outlineLevel="1"/>
    <row r="128" ht="15.75" customHeight="1" outlineLevel="1"/>
    <row r="129" ht="15.75" customHeight="1" outlineLevel="1"/>
    <row r="130" ht="15.75" customHeight="1" outlineLevel="1"/>
    <row r="131" ht="15.75" customHeight="1" outlineLevel="1"/>
    <row r="132" ht="15.75" customHeight="1" outlineLevel="1"/>
    <row r="133" ht="15.75" customHeight="1" outlineLevel="1"/>
    <row r="134" ht="15.75" customHeight="1" outlineLevel="1"/>
    <row r="135" ht="15.75" customHeight="1" outlineLevel="1"/>
    <row r="136" ht="15.75" customHeight="1" outlineLevel="1"/>
    <row r="137" ht="3" customHeight="1" outlineLevel="1"/>
    <row r="138" ht="15.75" customHeight="1" outlineLevel="1"/>
    <row r="139" ht="15.75" customHeight="1" outlineLevel="1"/>
    <row r="140" ht="15.75" customHeight="1" outlineLevel="1"/>
    <row r="141" ht="15.75" customHeight="1" outlineLevel="1"/>
    <row r="142" ht="15.75" customHeight="1" outlineLevel="1"/>
    <row r="143" ht="15.75" customHeight="1" outlineLevel="1"/>
    <row r="144" ht="15.75" customHeight="1" outlineLevel="1"/>
    <row r="145" ht="15.75" customHeight="1" outlineLevel="1"/>
    <row r="146" ht="15.75" customHeight="1" outlineLevel="1"/>
    <row r="147" ht="15.75" customHeight="1" outlineLevel="1"/>
    <row r="148" ht="15.75" customHeight="1" outlineLevel="1"/>
    <row r="149" ht="15.75" customHeight="1" outlineLevel="1"/>
    <row r="150" ht="15.75" customHeight="1" outlineLevel="1"/>
    <row r="151" ht="15.75" customHeight="1" outlineLevel="1"/>
    <row r="152" ht="15.75" customHeight="1" outlineLevel="1"/>
    <row r="153" ht="15.75" customHeight="1" outlineLevel="1"/>
    <row r="154" ht="15.75" customHeight="1" outlineLevel="1"/>
    <row r="155" ht="15.75" customHeight="1" outlineLevel="1"/>
    <row r="156" ht="15.75" customHeight="1" outlineLevel="1"/>
    <row r="157" ht="15.75" customHeight="1" outlineLevel="1"/>
    <row r="158" ht="15.75" customHeight="1" outlineLevel="1"/>
    <row r="159" ht="15.75" customHeight="1" outlineLevel="1"/>
    <row r="160" ht="15.75" customHeight="1" outlineLevel="1"/>
    <row r="161" ht="15.75" customHeight="1" outlineLevel="1"/>
    <row r="162" ht="15.75" customHeight="1" outlineLevel="1"/>
    <row r="163" ht="15.75" customHeight="1" outlineLevel="1"/>
    <row r="164" ht="15.75" customHeight="1" outlineLevel="1"/>
    <row r="165" ht="15.75" customHeight="1" outlineLevel="1"/>
    <row r="166" ht="15.75" customHeight="1" outlineLevel="1"/>
    <row r="167" ht="15.75" customHeight="1" outlineLevel="1"/>
    <row r="168" ht="15.75" customHeight="1" outlineLevel="1"/>
    <row r="169" ht="15.75" customHeight="1" outlineLevel="1"/>
    <row r="170" ht="15.75" customHeight="1" outlineLevel="1"/>
    <row r="171" ht="15.75" customHeight="1" outlineLevel="1"/>
    <row r="172" ht="15.75" customHeight="1" outlineLevel="1"/>
    <row r="173" ht="15.75" customHeight="1" outlineLevel="1"/>
    <row r="174" ht="15.75" customHeight="1" outlineLevel="1"/>
    <row r="175" ht="15.75" customHeight="1" outlineLevel="1"/>
    <row r="176" ht="15.75" customHeight="1" outlineLevel="1"/>
    <row r="177" ht="15.75" customHeight="1" outlineLevel="1"/>
    <row r="178" ht="15.75" customHeight="1" outlineLevel="1"/>
    <row r="179" ht="15.75" customHeight="1" outlineLevel="1"/>
    <row r="180" ht="15.75" customHeight="1" outlineLevel="1"/>
    <row r="181" ht="15.75" customHeight="1" outlineLevel="1"/>
    <row r="182" ht="15.75" customHeight="1" outlineLevel="1"/>
    <row r="183" ht="15.75" customHeight="1" outlineLevel="1"/>
    <row r="184" ht="15.75" customHeight="1" outlineLevel="1"/>
    <row r="185" ht="15.75" customHeight="1" outlineLevel="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B3:W43" xr:uid="{00000000-0009-0000-0000-000002000000}"/>
  <mergeCells count="5">
    <mergeCell ref="E2:H2"/>
    <mergeCell ref="I2:L2"/>
    <mergeCell ref="M2:P2"/>
    <mergeCell ref="Q2:T2"/>
    <mergeCell ref="U2:W2"/>
  </mergeCells>
  <dataValidations count="1">
    <dataValidation type="list" allowBlank="1" showErrorMessage="1" sqref="D5:D59" xr:uid="{ED04905A-86DB-40E6-8892-AF9B3AE152B8}">
      <formula1>$Z$5:$Z$17</formula1>
    </dataValidation>
  </dataValidations>
  <pageMargins left="0.7" right="0.7" top="0.75" bottom="0.75" header="0" footer="0"/>
  <pageSetup orientation="landscape"/>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90301-C7BE-45F0-8D88-87DA26CBC921}">
  <sheetPr>
    <tabColor rgb="FF9DC3E6"/>
  </sheetPr>
  <dimension ref="A1:I59"/>
  <sheetViews>
    <sheetView showGridLines="0" workbookViewId="0">
      <pane ySplit="1" topLeftCell="A8" activePane="bottomLeft" state="frozen"/>
      <selection pane="bottomLeft" activeCell="G8" sqref="G8"/>
    </sheetView>
  </sheetViews>
  <sheetFormatPr defaultRowHeight="14.4"/>
  <cols>
    <col min="1" max="1" width="48.109375" customWidth="1"/>
    <col min="2" max="2" width="18.5546875" customWidth="1"/>
    <col min="3" max="3" width="24.109375" customWidth="1"/>
    <col min="4" max="4" width="20.33203125" customWidth="1"/>
    <col min="5" max="5" width="18.5546875" customWidth="1"/>
    <col min="6" max="6" width="20.33203125" customWidth="1"/>
    <col min="7" max="7" width="16.6640625" customWidth="1"/>
    <col min="8" max="8" width="18.5546875" customWidth="1"/>
    <col min="9" max="9" width="14.77734375" customWidth="1"/>
  </cols>
  <sheetData>
    <row r="1" spans="1:9" ht="21">
      <c r="A1" s="725" t="s">
        <v>1894</v>
      </c>
      <c r="B1" s="727"/>
      <c r="C1" s="727"/>
      <c r="D1" s="727"/>
      <c r="E1" s="727"/>
      <c r="F1" s="727"/>
      <c r="G1" s="727"/>
      <c r="H1" s="727"/>
      <c r="I1" s="727"/>
    </row>
    <row r="2" spans="1:9">
      <c r="A2" s="805" t="s">
        <v>1895</v>
      </c>
    </row>
    <row r="3" spans="1:9">
      <c r="A3" s="729" t="s">
        <v>1896</v>
      </c>
      <c r="B3" s="730"/>
      <c r="C3" s="730"/>
      <c r="D3" s="730"/>
      <c r="E3" s="730"/>
      <c r="F3" s="730"/>
      <c r="G3" s="730"/>
      <c r="H3" s="730"/>
      <c r="I3" s="730"/>
    </row>
    <row r="4" spans="1:9">
      <c r="A4" s="755" t="s">
        <v>121</v>
      </c>
      <c r="B4" s="756" t="s">
        <v>1897</v>
      </c>
      <c r="C4" s="756" t="s">
        <v>1898</v>
      </c>
      <c r="D4" s="756" t="s">
        <v>1899</v>
      </c>
      <c r="E4" s="756" t="s">
        <v>1900</v>
      </c>
      <c r="F4" s="756" t="s">
        <v>1901</v>
      </c>
      <c r="G4" s="756" t="s">
        <v>1902</v>
      </c>
      <c r="H4" s="756" t="s">
        <v>1903</v>
      </c>
      <c r="I4" s="756" t="s">
        <v>1904</v>
      </c>
    </row>
    <row r="5" spans="1:9">
      <c r="A5" s="238" t="s">
        <v>1905</v>
      </c>
      <c r="B5" s="789">
        <f>LOOKUP(B30,$A$54:$A$57,$B$54:$B$57)</f>
      </c>
      <c r="C5" s="757">
        <v>0</v>
      </c>
      <c r="D5" s="757">
        <v>0</v>
      </c>
      <c r="E5" s="757">
        <v>0</v>
      </c>
      <c r="F5" s="758">
        <f>SUM(B5:E5)</f>
      </c>
      <c r="G5" s="757">
        <v>75</v>
      </c>
      <c r="H5" s="758">
        <f>G5-F5</f>
      </c>
      <c r="I5" s="301">
        <f>IFERROR(H5/G5,0)</f>
      </c>
    </row>
    <row r="6" spans="1:9">
      <c r="A6" s="238" t="s">
        <v>1792</v>
      </c>
      <c r="B6" s="757">
        <v>12.5</v>
      </c>
      <c r="C6" s="757">
        <v>5.5</v>
      </c>
      <c r="D6" s="757">
        <v>0.8</v>
      </c>
      <c r="E6" s="757">
        <v>1.2</v>
      </c>
      <c r="F6" s="758">
        <f>SUM(B6:E6)</f>
      </c>
      <c r="G6" s="757">
        <v>35</v>
      </c>
      <c r="H6" s="758">
        <f>G6-F6</f>
      </c>
      <c r="I6" s="301">
        <f>IFERROR(H6/G6,0)</f>
      </c>
    </row>
    <row r="7" spans="1:9">
      <c r="A7" s="238" t="s">
        <v>1906</v>
      </c>
      <c r="B7" s="759" t="s">
        <v>1907</v>
      </c>
      <c r="C7" s="759" t="s">
        <v>1907</v>
      </c>
      <c r="D7" s="759" t="s">
        <v>1907</v>
      </c>
      <c r="E7" s="759" t="s">
        <v>1907</v>
      </c>
      <c r="F7" s="758">
        <f>F5+F6</f>
      </c>
      <c r="G7" s="757">
        <v>99</v>
      </c>
      <c r="H7" s="758">
        <f>G7-F7</f>
      </c>
      <c r="I7" s="301">
        <f>IFERROR(H7/G7,0)</f>
      </c>
    </row>
    <row r="9" spans="1:9">
      <c r="A9" s="729" t="s">
        <v>1908</v>
      </c>
      <c r="B9" s="730"/>
      <c r="C9" s="730"/>
    </row>
    <row r="10" spans="1:9">
      <c r="A10" s="238" t="s">
        <v>1909</v>
      </c>
      <c r="B10" s="757">
        <v>80</v>
      </c>
    </row>
    <row r="11" spans="1:9">
      <c r="A11" s="238" t="s">
        <v>1910</v>
      </c>
      <c r="B11" s="760">
        <v>2</v>
      </c>
    </row>
    <row r="12" spans="1:9">
      <c r="A12" s="238" t="s">
        <v>1911</v>
      </c>
      <c r="B12" s="757">
        <v>60</v>
      </c>
    </row>
    <row r="13" spans="1:9">
      <c r="A13" s="755" t="s">
        <v>1912</v>
      </c>
      <c r="B13" s="761">
        <f>B10*B11+B12</f>
      </c>
    </row>
    <row r="15" spans="1:9">
      <c r="A15" s="729" t="s">
        <v>1913</v>
      </c>
      <c r="B15" s="730"/>
      <c r="C15" s="730"/>
    </row>
    <row r="16" spans="1:9">
      <c r="A16" s="755" t="s">
        <v>1914</v>
      </c>
      <c r="B16" s="756" t="s">
        <v>1915</v>
      </c>
      <c r="C16" s="756" t="s">
        <v>1916</v>
      </c>
    </row>
    <row r="17" spans="1:3">
      <c r="A17" t="s">
        <v>1917</v>
      </c>
      <c r="B17" s="762">
        <f>SUMIFS(Pre_orders__2[Qty],Pre_orders__2[Item],"*Commemorative hoodie*",Pre_orders__2[Notes],"&lt;&gt;*TEST*",Pre_orders__2[Payment status],"&lt;&gt;*TEST*")</f>
      </c>
      <c r="C17" s="758">
        <f>B17*G5</f>
      </c>
    </row>
    <row r="18" spans="1:3">
      <c r="A18" t="s">
        <v>1918</v>
      </c>
      <c r="B18" s="762">
        <f>SUMIFS(Pre_orders__2[Qty],Pre_orders__2[Item],"*Commemorative hat*",Pre_orders__2[Notes],"&lt;&gt;*TEST*",Pre_orders__2[Payment status],"&lt;&gt;*TEST*")</f>
      </c>
      <c r="C18" s="758">
        <f>B18*G6</f>
      </c>
    </row>
    <row r="19" spans="1:3">
      <c r="A19" t="s">
        <v>1919</v>
      </c>
      <c r="B19" s="762">
        <f>SUMIFS(Pre_orders__2[Qty],Pre_orders__2[Item],"*bundle*",Pre_orders__2[Notes],"&lt;&gt;*TEST*",Pre_orders__2[Payment status],"&lt;&gt;*TEST*")</f>
      </c>
      <c r="C19" s="758">
        <f>B19*G7</f>
      </c>
    </row>
    <row r="20" spans="1:3">
      <c r="A20" s="755" t="s">
        <v>621</v>
      </c>
      <c r="B20" s="763">
        <f>SUM(B17:B19)</f>
      </c>
      <c r="C20" s="761">
        <f>SUM(C17:C19)</f>
      </c>
    </row>
    <row r="21" spans="1:3">
      <c r="A21" s="723" t="s">
        <v>1920</v>
      </c>
      <c r="B21" s="764">
        <f>B17+B19</f>
      </c>
    </row>
    <row r="22" spans="1:3">
      <c r="A22" s="723" t="s">
        <v>1921</v>
      </c>
      <c r="B22" s="764">
        <f>B18+B19+B29</f>
      </c>
    </row>
    <row r="24" spans="1:3">
      <c r="A24" s="729" t="s">
        <v>1922</v>
      </c>
      <c r="B24" s="730"/>
      <c r="C24" s="730"/>
    </row>
    <row r="25" spans="1:3">
      <c r="A25" s="755" t="s">
        <v>1914</v>
      </c>
      <c r="B25" s="756" t="s">
        <v>1923</v>
      </c>
      <c r="C25" s="756" t="s">
        <v>1924</v>
      </c>
    </row>
    <row r="26" spans="1:3">
      <c r="A26" t="s">
        <v>1917</v>
      </c>
      <c r="B26" s="760">
        <v>35</v>
      </c>
      <c r="C26" s="758">
        <f>B26*G5</f>
      </c>
    </row>
    <row r="27" spans="1:3">
      <c r="A27" t="s">
        <v>1918</v>
      </c>
      <c r="B27" s="760">
        <v>35</v>
      </c>
      <c r="C27" s="758">
        <f>B27*G6</f>
      </c>
    </row>
    <row r="28" spans="1:3">
      <c r="A28" t="s">
        <v>1919</v>
      </c>
      <c r="B28" s="760">
        <v>6</v>
      </c>
      <c r="C28" s="758">
        <f>B28*G7</f>
      </c>
    </row>
    <row r="29" spans="1:3">
      <c r="A29" s="723" t="s">
        <v>1925</v>
      </c>
      <c r="B29" s="765">
        <v>6</v>
      </c>
      <c r="C29" s="766">
        <v>0</v>
      </c>
    </row>
    <row r="30" spans="1:3">
      <c r="A30" s="755" t="s">
        <v>1926</v>
      </c>
      <c r="B30" s="763">
        <f>SUM(B26:B28)</f>
      </c>
      <c r="C30" s="761">
        <f>SUM(C26:C28)</f>
      </c>
    </row>
    <row r="31" spans="1:3">
      <c r="A31" s="723" t="s">
        <v>1927</v>
      </c>
      <c r="B31" s="764">
        <f>B26+B28</f>
      </c>
    </row>
    <row r="32" spans="1:3">
      <c r="A32" s="723" t="s">
        <v>1928</v>
      </c>
      <c r="B32" s="764">
        <f>B27+B28+B29</f>
      </c>
    </row>
    <row r="34" spans="1:3">
      <c r="A34" s="767" t="s">
        <v>1929</v>
      </c>
      <c r="B34" s="727"/>
      <c r="C34" s="727"/>
    </row>
    <row r="35" spans="1:3">
      <c r="A35" s="755" t="s">
        <v>1714</v>
      </c>
      <c r="B35" s="756" t="s">
        <v>1930</v>
      </c>
      <c r="C35" s="756" t="s">
        <v>1931</v>
      </c>
    </row>
    <row r="36" spans="1:3">
      <c r="A36" t="s">
        <v>1916</v>
      </c>
      <c r="B36" s="758">
        <f>C30</f>
      </c>
      <c r="C36" s="758">
        <f>C20</f>
      </c>
    </row>
    <row r="37" spans="1:3">
      <c r="A37" t="s">
        <v>1932</v>
      </c>
      <c r="B37" s="758">
        <f>-B31*F5</f>
      </c>
      <c r="C37" s="758">
        <f>-B21*F5</f>
      </c>
    </row>
    <row r="38" spans="1:3">
      <c r="A38" t="s">
        <v>1933</v>
      </c>
      <c r="B38" s="758">
        <f>-B32*F6</f>
      </c>
      <c r="C38" s="758">
        <f>-B22*F6</f>
      </c>
    </row>
    <row r="39" spans="1:3">
      <c r="A39" t="s">
        <v>1934</v>
      </c>
      <c r="B39" s="758">
        <f>-B13</f>
      </c>
      <c r="C39" s="758">
        <f>-B13</f>
      </c>
    </row>
    <row r="40" spans="1:3">
      <c r="A40" s="768" t="s">
        <v>1935</v>
      </c>
      <c r="B40" s="769">
        <f>SUM(B36:B39)</f>
      </c>
      <c r="C40" s="769">
        <f>SUM(C36:C39)</f>
      </c>
    </row>
    <row r="41" spans="1:3">
      <c r="A41" s="723" t="s">
        <v>1936</v>
      </c>
      <c r="B41" s="770">
        <f>IFERROR((B36+B37+B38)/B36,0)</f>
      </c>
      <c r="C41" s="770">
        <f>IFERROR((C36+C37+C38)/C36,0)</f>
      </c>
    </row>
    <row r="42" spans="1:3">
      <c r="A42" s="723" t="s">
        <v>1937</v>
      </c>
      <c r="B42" s="766">
        <f>-B29*F6</f>
      </c>
      <c r="C42" s="766">
        <f>-B29*F6</f>
      </c>
    </row>
    <row r="44" spans="1:3">
      <c r="A44" s="726" t="s">
        <v>1938</v>
      </c>
      <c r="B44" s="727"/>
      <c r="C44" s="727"/>
    </row>
    <row r="45" spans="1:3">
      <c r="A45" s="288" t="s">
        <v>1939</v>
      </c>
    </row>
    <row r="46" spans="1:3">
      <c r="A46" s="288" t="s">
        <v>1940</v>
      </c>
    </row>
    <row r="47" spans="1:3">
      <c r="A47" s="288" t="s">
        <v>1941</v>
      </c>
    </row>
    <row r="48" spans="1:3">
      <c r="A48" s="288" t="s">
        <v>1942</v>
      </c>
    </row>
    <row r="49" spans="1:5">
      <c r="A49" s="288" t="s">
        <v>1943</v>
      </c>
    </row>
    <row r="50" spans="1:5">
      <c r="A50" s="790" t="s">
        <v>1944</v>
      </c>
    </row>
    <row r="52" spans="1:5">
      <c r="A52" s="780" t="s">
        <v>1945</v>
      </c>
      <c r="B52" s="730"/>
      <c r="C52" s="730"/>
      <c r="D52" s="730"/>
      <c r="E52" s="730"/>
    </row>
    <row r="53" spans="1:5">
      <c r="A53" s="781" t="s">
        <v>1946</v>
      </c>
      <c r="B53" s="781" t="s">
        <v>1947</v>
      </c>
      <c r="C53" s="781" t="s">
        <v>1948</v>
      </c>
      <c r="D53" s="781" t="s">
        <v>1904</v>
      </c>
      <c r="E53" s="781" t="s">
        <v>1949</v>
      </c>
    </row>
    <row r="54" spans="1:5">
      <c r="A54" s="782">
        <v>50</v>
      </c>
      <c r="B54" s="783">
        <v>72</v>
      </c>
      <c r="C54" s="758">
        <f>$G$5-B54</f>
      </c>
      <c r="D54" s="301">
        <f>IFERROR(C54/$G$5,0)</f>
      </c>
      <c r="E54" s="758">
        <f>B54/(1-$B$59)</f>
      </c>
    </row>
    <row r="55" spans="1:5">
      <c r="A55" s="784">
        <v>75</v>
      </c>
      <c r="B55" s="785">
        <v>67</v>
      </c>
      <c r="C55" s="786">
        <f>$G$5-B55</f>
      </c>
      <c r="D55" s="787">
        <f>IFERROR(C55/$G$5,0)</f>
      </c>
      <c r="E55" s="786">
        <f>B55/(1-$B$59)</f>
      </c>
    </row>
    <row r="56" spans="1:5">
      <c r="A56" s="782">
        <v>100</v>
      </c>
      <c r="B56" s="783">
        <v>64.5</v>
      </c>
      <c r="C56" s="758">
        <f>$G$5-B56</f>
      </c>
      <c r="D56" s="301">
        <f>IFERROR(C56/$G$5,0)</f>
      </c>
      <c r="E56" s="758">
        <f>B56/(1-$B$59)</f>
      </c>
    </row>
    <row r="57" spans="1:5">
      <c r="A57" s="782">
        <v>150</v>
      </c>
      <c r="B57" s="783">
        <v>61.5</v>
      </c>
      <c r="C57" s="758">
        <f>$G$5-B57</f>
      </c>
      <c r="D57" s="301">
        <f>IFERROR(C57/$G$5,0)</f>
      </c>
      <c r="E57" s="758">
        <f>B57/(1-$B$59)</f>
      </c>
    </row>
    <row r="59" spans="1:5">
      <c r="A59" s="310" t="s">
        <v>1950</v>
      </c>
      <c r="B59" s="788">
        <v>0.4</v>
      </c>
    </row>
  </sheetData>
  <pageMargins left="0.7" right="0.7" top="0.75" bottom="0.75" header="0.3" footer="0.3"/>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F608-691F-4486-B5DA-A675A198C10C}">
  <sheetPr>
    <tabColor rgb="FF9DC3E6"/>
  </sheetPr>
  <dimension ref="A1:K1010"/>
  <sheetViews>
    <sheetView showGridLines="0" workbookViewId="0">
      <pane xSplit="1" ySplit="3" topLeftCell="B4" activePane="bottomRight" state="frozen"/>
      <selection pane="topRight" activeCell="I41" sqref="I41"/>
      <selection pane="bottomLeft" activeCell="I41" sqref="I41"/>
      <selection pane="bottomRight" activeCell="F26" sqref="F26"/>
    </sheetView>
  </sheetViews>
  <sheetFormatPr defaultColWidth="14.44140625" defaultRowHeight="15" customHeight="1"/>
  <cols>
    <col min="1" max="1" width="8.6640625" style="73" customWidth="1"/>
    <col min="2" max="2" width="57.88671875" style="73" customWidth="1"/>
    <col min="3" max="3" width="17.88671875" style="73" customWidth="1"/>
    <col min="4" max="4" width="11.5546875" style="73" customWidth="1"/>
    <col min="5" max="6" width="11" style="73" customWidth="1"/>
    <col min="7" max="7" width="40.5546875" style="73" customWidth="1"/>
    <col min="8" max="10" width="8.6640625" style="73" customWidth="1"/>
    <col min="11" max="11" width="14.109375" style="73" customWidth="1"/>
    <col min="12" max="27" width="8.6640625" style="73" customWidth="1"/>
    <col min="28" max="16384" width="14.44140625" style="73"/>
  </cols>
  <sheetData>
    <row r="1" spans="1:11" ht="15" customHeight="1">
      <c r="A1" s="811" t="s">
        <v>1951</v>
      </c>
    </row>
    <row r="2" spans="1:11" ht="14.4">
      <c r="B2" s="139" t="s">
        <v>1952</v>
      </c>
    </row>
    <row r="3" spans="1:11" ht="14.4">
      <c r="B3" s="132" t="s">
        <v>625</v>
      </c>
      <c r="C3" s="132" t="s">
        <v>1953</v>
      </c>
      <c r="D3" s="132" t="s">
        <v>1954</v>
      </c>
      <c r="E3" s="132" t="s">
        <v>1955</v>
      </c>
      <c r="F3" s="132" t="s">
        <v>1956</v>
      </c>
      <c r="G3" s="132" t="s">
        <v>1007</v>
      </c>
      <c r="H3" s="132" t="s">
        <v>1957</v>
      </c>
      <c r="I3" s="132" t="s">
        <v>1958</v>
      </c>
      <c r="J3" s="294" t="s">
        <v>1959</v>
      </c>
      <c r="K3" s="132" t="s">
        <v>112</v>
      </c>
    </row>
    <row r="4" spans="1:11" ht="14.4">
      <c r="B4" s="140" t="s">
        <v>1960</v>
      </c>
      <c r="C4" s="140"/>
      <c r="D4" s="141">
        <v>80</v>
      </c>
      <c r="E4" s="142"/>
      <c r="F4" s="142"/>
      <c r="G4" s="142" t="s">
        <v>1961</v>
      </c>
      <c r="H4" s="142" t="s">
        <v>1962</v>
      </c>
      <c r="I4" s="142"/>
      <c r="J4" s="150" t="s">
        <v>782</v>
      </c>
      <c r="K4" s="114"/>
    </row>
    <row r="5" spans="1:11" ht="14.4">
      <c r="B5" s="143" t="s">
        <v>1963</v>
      </c>
      <c r="C5" s="143"/>
      <c r="D5" s="144">
        <v>14</v>
      </c>
      <c r="E5" s="145"/>
      <c r="F5" s="145"/>
      <c r="G5" s="145" t="s">
        <v>1964</v>
      </c>
      <c r="H5" s="145" t="s">
        <v>1962</v>
      </c>
      <c r="I5" s="145"/>
      <c r="J5" s="150" t="s">
        <v>782</v>
      </c>
      <c r="K5" s="114"/>
    </row>
    <row r="6" spans="1:11" ht="43.2">
      <c r="B6" s="143" t="s">
        <v>1965</v>
      </c>
      <c r="C6" s="143"/>
      <c r="D6" s="144">
        <v>22</v>
      </c>
      <c r="E6" s="145"/>
      <c r="F6" s="145"/>
      <c r="G6" s="145"/>
      <c r="H6" s="145" t="s">
        <v>1962</v>
      </c>
      <c r="I6" s="145"/>
      <c r="J6" s="150" t="s">
        <v>782</v>
      </c>
      <c r="K6" s="114"/>
    </row>
    <row r="7" spans="1:11" ht="43.2">
      <c r="B7" s="143" t="s">
        <v>1966</v>
      </c>
      <c r="C7" s="143"/>
      <c r="D7" s="144">
        <v>11</v>
      </c>
      <c r="E7" s="145"/>
      <c r="F7" s="145"/>
      <c r="G7" s="145"/>
      <c r="H7" s="145" t="s">
        <v>1962</v>
      </c>
      <c r="I7" s="145"/>
      <c r="J7" s="150" t="s">
        <v>782</v>
      </c>
      <c r="K7" s="114"/>
    </row>
    <row r="8" spans="1:11" ht="14.4">
      <c r="B8" s="143" t="s">
        <v>1967</v>
      </c>
      <c r="C8" s="143"/>
      <c r="D8" s="144"/>
      <c r="E8" s="145"/>
      <c r="F8" s="145"/>
      <c r="G8" s="145" t="s">
        <v>1968</v>
      </c>
      <c r="H8" s="145"/>
      <c r="I8" s="145"/>
      <c r="J8" s="150" t="s">
        <v>782</v>
      </c>
    </row>
    <row r="9" spans="1:11" ht="14.4">
      <c r="B9" s="143" t="s">
        <v>1969</v>
      </c>
      <c r="C9" s="143"/>
      <c r="D9" s="144"/>
      <c r="E9" s="145"/>
      <c r="F9" s="145"/>
      <c r="G9" s="145" t="s">
        <v>1970</v>
      </c>
      <c r="H9" s="145"/>
      <c r="I9" s="145"/>
      <c r="J9" s="150" t="s">
        <v>782</v>
      </c>
    </row>
    <row r="10" spans="1:11" ht="14.4">
      <c r="B10" s="143" t="s">
        <v>1971</v>
      </c>
      <c r="C10" s="143"/>
      <c r="D10" s="144">
        <v>16</v>
      </c>
      <c r="E10" s="145"/>
      <c r="F10" s="145"/>
      <c r="G10" s="145" t="s">
        <v>1962</v>
      </c>
      <c r="H10" s="145" t="s">
        <v>1962</v>
      </c>
      <c r="I10" s="145"/>
      <c r="J10" s="150" t="s">
        <v>782</v>
      </c>
      <c r="K10" s="114"/>
    </row>
    <row r="11" spans="1:11" ht="14.4">
      <c r="B11" s="143" t="s">
        <v>1972</v>
      </c>
      <c r="C11" s="143"/>
      <c r="D11" s="144">
        <v>7</v>
      </c>
      <c r="E11" s="145"/>
      <c r="F11" s="145"/>
      <c r="G11" s="145" t="s">
        <v>1962</v>
      </c>
      <c r="H11" s="145" t="s">
        <v>1962</v>
      </c>
      <c r="I11" s="145"/>
      <c r="J11" s="150" t="s">
        <v>782</v>
      </c>
      <c r="K11" s="114"/>
    </row>
    <row r="12" spans="1:11" ht="14.4">
      <c r="B12" s="143" t="s">
        <v>1973</v>
      </c>
      <c r="C12" s="143"/>
      <c r="D12" s="144">
        <v>16</v>
      </c>
      <c r="E12" s="145"/>
      <c r="F12" s="145"/>
      <c r="G12" s="145" t="s">
        <v>1962</v>
      </c>
      <c r="H12" s="145" t="s">
        <v>1962</v>
      </c>
      <c r="I12" s="434">
        <f>D12/200</f>
      </c>
      <c r="J12" s="150" t="s">
        <v>782</v>
      </c>
      <c r="K12" s="114"/>
    </row>
    <row r="13" spans="1:11" ht="14.4">
      <c r="B13" s="143" t="s">
        <v>1974</v>
      </c>
      <c r="C13" s="143"/>
      <c r="D13" s="144"/>
      <c r="E13" s="145"/>
      <c r="F13" s="145"/>
      <c r="G13" s="145" t="s">
        <v>1968</v>
      </c>
      <c r="H13" s="145"/>
      <c r="I13" s="145"/>
      <c r="J13" s="150" t="s">
        <v>782</v>
      </c>
      <c r="K13" s="114"/>
    </row>
    <row r="14" spans="1:11" ht="14.4">
      <c r="B14" s="146" t="s">
        <v>1975</v>
      </c>
      <c r="C14" s="146"/>
      <c r="D14" s="435">
        <f>SUM(D4:D12)</f>
      </c>
      <c r="E14" s="147"/>
      <c r="F14" s="147"/>
      <c r="G14" s="147"/>
      <c r="H14" s="147"/>
      <c r="I14" s="147"/>
      <c r="J14" s="147"/>
    </row>
    <row r="15" spans="1:11" ht="14.4">
      <c r="B15" s="148"/>
      <c r="C15" s="148"/>
      <c r="D15" s="149"/>
      <c r="E15" s="150"/>
      <c r="F15" s="150"/>
      <c r="G15" s="150"/>
      <c r="H15" s="150"/>
      <c r="I15" s="150"/>
      <c r="J15" s="150"/>
    </row>
    <row r="16" spans="1:11" ht="14.4">
      <c r="B16" s="139" t="s">
        <v>1976</v>
      </c>
    </row>
    <row r="17" spans="2:11" ht="14.4">
      <c r="B17" s="132" t="s">
        <v>625</v>
      </c>
      <c r="C17" s="132" t="s">
        <v>1953</v>
      </c>
      <c r="D17" s="132" t="s">
        <v>1954</v>
      </c>
      <c r="E17" s="132" t="s">
        <v>1955</v>
      </c>
      <c r="F17" s="132" t="s">
        <v>1956</v>
      </c>
      <c r="G17" s="132" t="s">
        <v>1007</v>
      </c>
      <c r="H17" s="132" t="s">
        <v>1957</v>
      </c>
      <c r="I17" s="132" t="s">
        <v>1958</v>
      </c>
      <c r="J17" s="132"/>
    </row>
    <row r="18" spans="2:11" ht="57.6">
      <c r="B18" s="140" t="s">
        <v>1977</v>
      </c>
      <c r="C18" s="140"/>
      <c r="D18" s="141">
        <v>58</v>
      </c>
      <c r="E18" s="151">
        <v>96</v>
      </c>
      <c r="F18" s="436">
        <f t="shared" ref="F18:F20" si="0">ROUNDUP(C33/E18,0)</f>
      </c>
      <c r="G18" s="142" t="s">
        <v>1978</v>
      </c>
      <c r="H18" s="142" t="s">
        <v>1962</v>
      </c>
      <c r="I18" s="437">
        <f t="shared" ref="I18:I23" si="1">D18/E18</f>
      </c>
      <c r="J18" s="150" t="s">
        <v>1979</v>
      </c>
      <c r="K18" s="114"/>
    </row>
    <row r="19" spans="2:11" ht="14.4">
      <c r="B19" s="143" t="s">
        <v>1980</v>
      </c>
      <c r="C19" s="143"/>
      <c r="D19" s="144">
        <v>62</v>
      </c>
      <c r="E19" s="152">
        <v>60</v>
      </c>
      <c r="F19" s="438">
        <f t="shared" si="0"/>
      </c>
      <c r="G19" s="145" t="s">
        <v>1978</v>
      </c>
      <c r="H19" s="145" t="s">
        <v>1962</v>
      </c>
      <c r="I19" s="434">
        <f t="shared" si="1"/>
      </c>
      <c r="J19" s="150" t="s">
        <v>1979</v>
      </c>
      <c r="K19" s="114"/>
    </row>
    <row r="20" spans="2:11" ht="14.4">
      <c r="B20" s="143" t="s">
        <v>1981</v>
      </c>
      <c r="C20" s="143"/>
      <c r="D20" s="144">
        <v>14</v>
      </c>
      <c r="E20" s="152">
        <v>24</v>
      </c>
      <c r="F20" s="438">
        <f t="shared" si="0"/>
      </c>
      <c r="G20" s="145" t="s">
        <v>1978</v>
      </c>
      <c r="H20" s="145" t="s">
        <v>1962</v>
      </c>
      <c r="I20" s="434">
        <f t="shared" si="1"/>
      </c>
      <c r="J20" s="150" t="s">
        <v>1979</v>
      </c>
      <c r="K20" s="114"/>
    </row>
    <row r="21" spans="2:11" ht="57.6">
      <c r="B21" s="143" t="s">
        <v>1982</v>
      </c>
      <c r="C21" s="153" t="s">
        <v>1983</v>
      </c>
      <c r="D21" s="144">
        <v>11</v>
      </c>
      <c r="E21" s="152">
        <v>18</v>
      </c>
      <c r="F21" s="438">
        <f>ROUNDUP(C31/E21,0)</f>
      </c>
      <c r="G21" s="145"/>
      <c r="H21" s="145" t="s">
        <v>1962</v>
      </c>
      <c r="I21" s="434">
        <f t="shared" si="1"/>
      </c>
      <c r="J21" s="150" t="s">
        <v>1979</v>
      </c>
      <c r="K21" s="114"/>
    </row>
    <row r="22" spans="2:11" ht="15.75" customHeight="1">
      <c r="B22" s="143" t="s">
        <v>1984</v>
      </c>
      <c r="C22" s="143"/>
      <c r="D22" s="144">
        <v>28</v>
      </c>
      <c r="E22" s="152">
        <v>26</v>
      </c>
      <c r="F22" s="438">
        <f>ROUND(C36/E22,0)</f>
      </c>
      <c r="G22" s="145"/>
      <c r="H22" s="145" t="s">
        <v>1985</v>
      </c>
      <c r="I22" s="434">
        <f t="shared" si="1"/>
      </c>
      <c r="J22" s="150" t="s">
        <v>1979</v>
      </c>
      <c r="K22" s="114"/>
    </row>
    <row r="23" spans="2:11" ht="15.75" customHeight="1">
      <c r="B23" s="143" t="s">
        <v>660</v>
      </c>
      <c r="C23" s="143"/>
      <c r="D23" s="144">
        <v>0.26</v>
      </c>
      <c r="E23" s="152">
        <v>1</v>
      </c>
      <c r="F23" s="438">
        <f>C32</f>
      </c>
      <c r="G23" s="145"/>
      <c r="H23" s="145" t="s">
        <v>1986</v>
      </c>
      <c r="I23" s="434">
        <f t="shared" si="1"/>
      </c>
      <c r="J23" s="150" t="s">
        <v>1979</v>
      </c>
    </row>
    <row r="24" spans="2:11" ht="28.8">
      <c r="B24" s="143" t="s">
        <v>1987</v>
      </c>
      <c r="C24" s="143"/>
      <c r="D24" s="144">
        <v>6.2</v>
      </c>
      <c r="E24" s="152">
        <v>16</v>
      </c>
      <c r="F24" s="438">
        <f t="shared" ref="F24:F26" si="2">ROUNDUP(C37*2/E24,0)</f>
      </c>
      <c r="G24" s="145"/>
      <c r="H24" s="145" t="s">
        <v>1986</v>
      </c>
      <c r="I24" s="434">
        <f>D24/E24*2</f>
      </c>
      <c r="J24" s="150" t="s">
        <v>1979</v>
      </c>
      <c r="K24"/>
    </row>
    <row r="25" spans="2:11" ht="14.4">
      <c r="B25" s="143" t="s">
        <v>1988</v>
      </c>
      <c r="C25" s="143"/>
      <c r="D25" s="144">
        <v>1.9</v>
      </c>
      <c r="E25" s="152">
        <v>10</v>
      </c>
      <c r="F25" s="438">
        <f t="shared" si="2"/>
      </c>
      <c r="G25" s="145"/>
      <c r="H25" s="145" t="s">
        <v>1986</v>
      </c>
      <c r="I25" s="434">
        <f t="shared" ref="I25:I26" si="3">D25/E25</f>
      </c>
      <c r="J25" s="150" t="s">
        <v>1979</v>
      </c>
      <c r="K25"/>
    </row>
    <row r="26" spans="2:11" ht="28.8">
      <c r="B26" s="143" t="s">
        <v>1989</v>
      </c>
      <c r="C26" s="143"/>
      <c r="D26" s="144">
        <v>11.5</v>
      </c>
      <c r="E26" s="152">
        <v>16</v>
      </c>
      <c r="F26" s="438">
        <f t="shared" si="2"/>
      </c>
      <c r="G26" s="145"/>
      <c r="H26" s="145" t="s">
        <v>1986</v>
      </c>
      <c r="I26" s="434">
        <f t="shared" si="3"/>
      </c>
      <c r="J26" s="150" t="s">
        <v>1979</v>
      </c>
      <c r="K26"/>
    </row>
    <row r="27" spans="2:11" ht="14.4">
      <c r="B27" s="143" t="s">
        <v>1990</v>
      </c>
      <c r="C27" s="143"/>
      <c r="D27" s="144">
        <v>4.1</v>
      </c>
      <c r="E27" s="152">
        <v>1</v>
      </c>
      <c r="F27" s="438">
        <f>ROUNDUP((0.27*C39)/10,0)</f>
      </c>
      <c r="G27" s="145"/>
      <c r="H27" s="145" t="s">
        <v>1986</v>
      </c>
      <c r="I27" s="434">
        <f>(D27)/(10/0.27)</f>
      </c>
      <c r="J27" s="150" t="s">
        <v>1979</v>
      </c>
      <c r="K27"/>
    </row>
    <row r="28" spans="2:11" ht="15.75" customHeight="1">
      <c r="B28" s="143" t="s">
        <v>1991</v>
      </c>
      <c r="C28" s="135"/>
      <c r="D28" s="144">
        <v>9.5</v>
      </c>
      <c r="E28" s="152">
        <v>28</v>
      </c>
      <c r="F28" s="154"/>
      <c r="G28" s="145"/>
      <c r="H28" s="145" t="s">
        <v>1985</v>
      </c>
      <c r="I28" s="434">
        <f>D28/E28</f>
      </c>
      <c r="J28" s="150" t="s">
        <v>1979</v>
      </c>
      <c r="K28"/>
    </row>
    <row r="29" spans="2:11" ht="15.75" customHeight="1"/>
    <row r="30" spans="2:11" ht="15.75" customHeight="1">
      <c r="B30" s="109" t="s">
        <v>1992</v>
      </c>
      <c r="C30" s="109" t="s">
        <v>1993</v>
      </c>
      <c r="D30" s="109" t="s">
        <v>1994</v>
      </c>
    </row>
    <row r="31" spans="2:11" ht="15.75" customHeight="1">
      <c r="B31" s="114" t="s">
        <v>1995</v>
      </c>
      <c r="C31" s="440">
        <f>SUM('Concession Projection Details'!J8,'Concession Projection Details'!N8,'Concession Projection Details'!R8)+2*SUM('Concession Projection Details'!J9,'Concession Projection Details'!N9,'Concession Projection Details'!R9)+SUM('Concession Projection Details'!J17,'Concession Projection Details'!N17,'Concession Projection Details'!R17)</f>
      </c>
      <c r="D31" s="428">
        <f>F21*D21</f>
      </c>
    </row>
    <row r="32" spans="2:11" ht="15.75" customHeight="1">
      <c r="B32" s="114" t="s">
        <v>1996</v>
      </c>
      <c r="C32" s="440">
        <f>SUM('Concession Projection Details'!J16,'Concession Projection Details'!N16,'Concession Projection Details'!R16)+SUM('Concession Projection Details'!J17,'Concession Projection Details'!N17,'Concession Projection Details'!R17)</f>
      </c>
      <c r="D32" s="428">
        <f>F23*D23</f>
      </c>
    </row>
    <row r="33" spans="2:11" ht="15.75" customHeight="1">
      <c r="B33" s="114" t="s">
        <v>1997</v>
      </c>
      <c r="C33" s="113">
        <v>90</v>
      </c>
      <c r="D33" s="428">
        <f t="shared" ref="D33:D35" si="4">F18*D18</f>
      </c>
    </row>
    <row r="34" spans="2:11" ht="15.75" customHeight="1">
      <c r="B34" s="114" t="s">
        <v>1998</v>
      </c>
      <c r="C34" s="113">
        <v>50</v>
      </c>
      <c r="D34" s="428">
        <f t="shared" si="4"/>
      </c>
    </row>
    <row r="35" spans="2:11" ht="15.75" customHeight="1">
      <c r="B35" s="114" t="s">
        <v>1999</v>
      </c>
      <c r="C35" s="113">
        <v>30</v>
      </c>
      <c r="D35" s="428">
        <f t="shared" si="4"/>
      </c>
    </row>
    <row r="36" spans="2:11" ht="15.75" customHeight="1">
      <c r="B36" s="114" t="s">
        <v>2000</v>
      </c>
      <c r="C36" s="113">
        <v>110</v>
      </c>
      <c r="D36" s="428">
        <f>F22*D22</f>
      </c>
    </row>
    <row r="37" spans="2:11" ht="15.75" customHeight="1">
      <c r="B37" s="114" t="s">
        <v>2001</v>
      </c>
      <c r="C37" s="113">
        <v>40</v>
      </c>
      <c r="D37" s="428">
        <f t="shared" ref="D37:D38" si="5">F24*D24</f>
      </c>
    </row>
    <row r="38" spans="2:11" ht="15.75" customHeight="1">
      <c r="B38" s="114" t="s">
        <v>2002</v>
      </c>
      <c r="C38" s="439">
        <f>C37</f>
      </c>
      <c r="D38" s="428">
        <f t="shared" si="5"/>
      </c>
    </row>
    <row r="39" spans="2:11" ht="15.75" customHeight="1">
      <c r="B39" s="114" t="s">
        <v>2003</v>
      </c>
      <c r="C39" s="439">
        <f t="shared" ref="C39:C40" si="6">C38</f>
      </c>
      <c r="D39" s="428">
        <f>D27*F27</f>
      </c>
    </row>
    <row r="40" spans="2:11" ht="15.75" customHeight="1">
      <c r="B40" s="114" t="s">
        <v>2004</v>
      </c>
      <c r="C40" s="439">
        <f t="shared" si="6"/>
      </c>
      <c r="D40" s="428">
        <f>D26*F26</f>
      </c>
    </row>
    <row r="41" spans="2:11" ht="15.75" customHeight="1">
      <c r="B41" s="114"/>
      <c r="C41" s="128"/>
      <c r="D41" s="116"/>
    </row>
    <row r="42" spans="2:11" ht="15.75" customHeight="1">
      <c r="B42" s="146" t="s">
        <v>2005</v>
      </c>
      <c r="C42" s="146"/>
      <c r="D42" s="435">
        <f>SUM(D31:D36)</f>
      </c>
      <c r="E42" s="147"/>
      <c r="F42" s="147"/>
      <c r="G42" s="147"/>
      <c r="H42" s="147"/>
      <c r="I42" s="147"/>
      <c r="J42" s="147"/>
    </row>
    <row r="43" spans="2:11" ht="15.75" customHeight="1"/>
    <row r="44" spans="2:11" ht="15.75" customHeight="1"/>
    <row r="45" spans="2:11" ht="15.75" customHeight="1">
      <c r="B45" s="114" t="s">
        <v>1952</v>
      </c>
      <c r="D45" s="428">
        <f>SUM(D5:D11)</f>
      </c>
    </row>
    <row r="46" spans="2:11" ht="15.75" customHeight="1">
      <c r="B46" s="114" t="s">
        <v>1976</v>
      </c>
      <c r="D46" s="428">
        <f>D42</f>
      </c>
    </row>
    <row r="47" spans="2:11" ht="15.75" customHeight="1">
      <c r="B47" s="114" t="s">
        <v>1770</v>
      </c>
      <c r="D47" s="155">
        <v>980</v>
      </c>
      <c r="K47" s="114" t="s">
        <v>2006</v>
      </c>
    </row>
    <row r="48" spans="2:11" ht="15.75" customHeight="1">
      <c r="B48" s="114" t="s">
        <v>2007</v>
      </c>
      <c r="D48" s="155">
        <v>150</v>
      </c>
      <c r="K48" s="114" t="s">
        <v>2008</v>
      </c>
    </row>
    <row r="49" spans="2:4" ht="15.75" customHeight="1">
      <c r="B49" s="109" t="s">
        <v>621</v>
      </c>
      <c r="C49" s="109"/>
      <c r="D49" s="432">
        <f>SUM(D45:D48)</f>
      </c>
    </row>
    <row r="50" spans="2:4" ht="15.75" customHeight="1"/>
    <row r="51" spans="2:4" ht="15.75" customHeight="1"/>
    <row r="52" spans="2:4" ht="15.75" customHeight="1"/>
    <row r="53" spans="2:4" ht="15.75" customHeight="1"/>
    <row r="54" spans="2:4" ht="15.75" customHeight="1"/>
    <row r="55" spans="2:4" ht="15.75" customHeight="1"/>
    <row r="56" spans="2:4" ht="15.75" customHeight="1"/>
    <row r="57" spans="2:4" ht="15.75" customHeight="1"/>
    <row r="58" spans="2:4" ht="15.75" customHeight="1"/>
    <row r="59" spans="2:4" ht="15.75" customHeight="1"/>
    <row r="60" spans="2:4" ht="15.75" customHeight="1"/>
    <row r="61" spans="2:4" ht="15.75" customHeight="1"/>
    <row r="62" spans="2:4" ht="15.75" customHeight="1"/>
    <row r="63" spans="2:4" ht="15.75" customHeight="1"/>
    <row r="64" spans="2: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dataValidations count="1">
    <dataValidation type="list" allowBlank="1" showInputMessage="1" showErrorMessage="1" sqref="J4:J13 J18:J28" xr:uid="{3EC080CC-AE57-4472-A8B0-AD9572B63438}">
      <formula1>"Yes,No"</formula1>
    </dataValidation>
  </dataValidations>
  <hyperlinks>
    <hyperlink ref="C21" r:id="rId1" xr:uid="{8323BDF7-41C9-4919-9D6D-980452078ED7}"/>
  </hyperlinks>
  <pageMargins left="0.7" right="0.7" top="0.75" bottom="0.75" header="0" footer="0"/>
  <pageSetup orientation="landscape"/>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69D6A-5717-43D1-84CF-D8F25EA79395}">
  <sheetPr>
    <tabColor rgb="FF9DC3E6"/>
  </sheetPr>
  <dimension ref="B1:E1000"/>
  <sheetViews>
    <sheetView showGridLines="0" workbookViewId="0">
      <selection activeCell="E32" sqref="E32:E35"/>
    </sheetView>
  </sheetViews>
  <sheetFormatPr defaultColWidth="14.44140625" defaultRowHeight="15" customHeight="1"/>
  <cols>
    <col min="1" max="1" width="8.6640625" style="73" customWidth="1"/>
    <col min="2" max="2" width="38.6640625" style="73" customWidth="1"/>
    <col min="3" max="26" width="8.6640625" style="73" customWidth="1"/>
    <col min="27" max="16384" width="14.44140625" style="73"/>
  </cols>
  <sheetData>
    <row r="1" spans="2:5" ht="14.25" customHeight="1"/>
    <row r="2" spans="2:5" ht="14.25" customHeight="1">
      <c r="B2" s="109" t="s">
        <v>121</v>
      </c>
      <c r="C2" s="109"/>
      <c r="D2" s="109"/>
      <c r="E2" s="109" t="s">
        <v>1954</v>
      </c>
    </row>
    <row r="3" spans="2:5" ht="14.25" customHeight="1">
      <c r="B3" s="133" t="s">
        <v>2009</v>
      </c>
      <c r="C3" s="133"/>
      <c r="D3" s="133"/>
      <c r="E3" s="133"/>
    </row>
    <row r="4" spans="2:5" ht="14.25" customHeight="1">
      <c r="B4" s="776" t="s">
        <v>631</v>
      </c>
      <c r="C4" s="134"/>
      <c r="D4" s="134"/>
      <c r="E4" s="441">
        <f>IFERROR(INDEX(ProductsMaster[Sale Price],MATCH($B4,ProductsMaster[Description],0)),"")</f>
      </c>
    </row>
    <row r="5" spans="2:5" ht="14.25" customHeight="1">
      <c r="B5" s="777" t="s">
        <v>634</v>
      </c>
      <c r="C5" s="135"/>
      <c r="D5" s="135"/>
      <c r="E5" s="441">
        <f>IFERROR(INDEX(ProductsMaster[Sale Price],MATCH($B5,ProductsMaster[Description],0)),"")</f>
      </c>
    </row>
    <row r="6" spans="2:5" ht="14.25" customHeight="1">
      <c r="B6" s="777" t="s">
        <v>636</v>
      </c>
      <c r="C6" s="135"/>
      <c r="D6" s="135"/>
      <c r="E6" s="441">
        <f>IFERROR(INDEX(ProductsMaster[Sale Price],MATCH($B6,ProductsMaster[Description],0)),"")</f>
      </c>
    </row>
    <row r="7" spans="2:5" ht="14.25" customHeight="1">
      <c r="B7" s="777" t="s">
        <v>638</v>
      </c>
      <c r="C7" s="135"/>
      <c r="D7" s="135"/>
      <c r="E7" s="441">
        <f>IFERROR(INDEX(ProductsMaster[Sale Price],MATCH($B7,ProductsMaster[Description],0)),"")</f>
      </c>
    </row>
    <row r="8" spans="2:5" ht="14.25" customHeight="1">
      <c r="B8" s="777" t="s">
        <v>640</v>
      </c>
      <c r="C8" s="135"/>
      <c r="D8" s="135"/>
      <c r="E8" s="441">
        <f>IFERROR(INDEX(ProductsMaster[Sale Price],MATCH($B8,ProductsMaster[Description],0)),"")</f>
      </c>
    </row>
    <row r="9" spans="2:5" ht="14.25" customHeight="1">
      <c r="B9" s="777" t="s">
        <v>642</v>
      </c>
      <c r="C9" s="135"/>
      <c r="D9" s="135"/>
      <c r="E9" s="441">
        <f>IFERROR(INDEX(ProductsMaster[Sale Price],MATCH($B9,ProductsMaster[Description],0)),"")</f>
      </c>
    </row>
    <row r="10" spans="2:5" ht="14.25" customHeight="1">
      <c r="B10" s="777" t="s">
        <v>645</v>
      </c>
      <c r="C10" s="135"/>
      <c r="D10" s="135"/>
      <c r="E10" s="441">
        <f>IFERROR(INDEX(ProductsMaster[Sale Price],MATCH($B10,ProductsMaster[Description],0)),"")</f>
      </c>
    </row>
    <row r="11" spans="2:5" ht="14.25" customHeight="1">
      <c r="B11" s="777" t="s">
        <v>647</v>
      </c>
      <c r="C11" s="135"/>
      <c r="D11" s="135"/>
      <c r="E11" s="441">
        <f>IFERROR(INDEX(ProductsMaster[Sale Price],MATCH($B11,ProductsMaster[Description],0)),"")</f>
      </c>
    </row>
    <row r="12" spans="2:5" ht="14.25" customHeight="1">
      <c r="B12" s="777" t="s">
        <v>650</v>
      </c>
      <c r="C12" s="135"/>
      <c r="D12" s="135"/>
      <c r="E12" s="441">
        <f>IFERROR(INDEX(ProductsMaster[Sale Price],MATCH($B12,ProductsMaster[Description],0)),"")</f>
      </c>
    </row>
    <row r="13" spans="2:5" ht="14.25" customHeight="1">
      <c r="B13" s="777" t="s">
        <v>652</v>
      </c>
      <c r="C13" s="135"/>
      <c r="D13" s="135"/>
      <c r="E13" s="441">
        <f>IFERROR(INDEX(ProductsMaster[Sale Price],MATCH($B13,ProductsMaster[Description],0)),"")</f>
      </c>
    </row>
    <row r="14" spans="2:5" ht="14.25" customHeight="1">
      <c r="B14" s="777" t="s">
        <v>654</v>
      </c>
      <c r="C14" s="135"/>
      <c r="D14" s="135"/>
      <c r="E14" s="441">
        <f>IFERROR(INDEX(ProductsMaster[Sale Price],MATCH($B14,ProductsMaster[Description],0)),"")</f>
      </c>
    </row>
    <row r="15" spans="2:5" ht="14.25" customHeight="1">
      <c r="B15" s="777" t="s">
        <v>656</v>
      </c>
      <c r="C15" s="135"/>
      <c r="D15" s="135"/>
      <c r="E15" s="441">
        <f>IFERROR(INDEX(ProductsMaster[Sale Price],MATCH($B15,ProductsMaster[Description],0)),"")</f>
      </c>
    </row>
    <row r="16" spans="2:5" ht="14.25" customHeight="1">
      <c r="B16" s="777" t="s">
        <v>658</v>
      </c>
      <c r="C16" s="135"/>
      <c r="D16" s="135"/>
      <c r="E16" s="441">
        <f>IFERROR(INDEX(ProductsMaster[Sale Price],MATCH($B16,ProductsMaster[Description],0)),"")</f>
      </c>
    </row>
    <row r="17" spans="2:5" ht="14.25" customHeight="1">
      <c r="B17" s="777" t="s">
        <v>660</v>
      </c>
      <c r="C17" s="135"/>
      <c r="D17" s="135"/>
      <c r="E17" s="441">
        <f>IFERROR(INDEX(ProductsMaster[Sale Price],MATCH($B17,ProductsMaster[Description],0)),"")</f>
      </c>
    </row>
    <row r="18" spans="2:5" ht="14.25" customHeight="1">
      <c r="B18" s="777" t="s">
        <v>662</v>
      </c>
      <c r="C18" s="135"/>
      <c r="D18" s="135"/>
      <c r="E18" s="441">
        <f>IFERROR(INDEX(ProductsMaster[Sale Price],MATCH($B18,ProductsMaster[Description],0)),"")</f>
      </c>
    </row>
    <row r="19" spans="2:5" ht="14.25" customHeight="1">
      <c r="E19" s="116"/>
    </row>
    <row r="20" spans="2:5" ht="14.25" customHeight="1">
      <c r="B20" s="136" t="s">
        <v>2010</v>
      </c>
      <c r="C20" s="137"/>
      <c r="D20" s="137"/>
      <c r="E20" s="138"/>
    </row>
    <row r="21" spans="2:5" ht="14.25" customHeight="1">
      <c r="B21" s="776" t="s">
        <v>664</v>
      </c>
      <c r="C21" s="134"/>
      <c r="D21" s="134"/>
      <c r="E21" s="441">
        <f>IFERROR(INDEX(ProductsMaster[Sale Price],MATCH($B21,ProductsMaster[Description],0)),"")</f>
      </c>
    </row>
    <row r="22" spans="2:5" ht="14.25" customHeight="1">
      <c r="B22" s="777" t="s">
        <v>667</v>
      </c>
      <c r="C22" s="135"/>
      <c r="D22" s="135"/>
      <c r="E22" s="441">
        <f>IFERROR(INDEX(ProductsMaster[Sale Price],MATCH($B22,ProductsMaster[Description],0)),"")</f>
      </c>
    </row>
    <row r="23" spans="2:5" ht="14.25" customHeight="1">
      <c r="B23" s="777" t="s">
        <v>669</v>
      </c>
      <c r="C23" s="135"/>
      <c r="D23" s="135"/>
      <c r="E23" s="441">
        <f>IFERROR(INDEX(ProductsMaster[Sale Price],MATCH($B23,ProductsMaster[Description],0)),"")</f>
      </c>
    </row>
    <row r="24" spans="2:5" ht="14.25" customHeight="1">
      <c r="B24" s="777" t="s">
        <v>671</v>
      </c>
      <c r="C24" s="135"/>
      <c r="D24" s="135"/>
      <c r="E24" s="441">
        <f>IFERROR(INDEX(ProductsMaster[Sale Price],MATCH($B24,ProductsMaster[Description],0)),"")</f>
      </c>
    </row>
    <row r="25" spans="2:5" ht="14.25" customHeight="1">
      <c r="B25" s="777" t="s">
        <v>673</v>
      </c>
      <c r="C25" s="135"/>
      <c r="D25" s="135"/>
      <c r="E25" s="441">
        <f>IFERROR(INDEX(ProductsMaster[Sale Price],MATCH($B25,ProductsMaster[Description],0)),"")</f>
      </c>
    </row>
    <row r="26" spans="2:5" ht="14.25" customHeight="1">
      <c r="B26" s="777" t="s">
        <v>675</v>
      </c>
      <c r="C26" s="135"/>
      <c r="D26" s="135"/>
      <c r="E26" s="441">
        <f>IFERROR(INDEX(ProductsMaster[Sale Price],MATCH($B26,ProductsMaster[Description],0)),"")</f>
      </c>
    </row>
    <row r="27" spans="2:5" ht="14.25" customHeight="1">
      <c r="B27" s="777" t="s">
        <v>677</v>
      </c>
      <c r="C27" s="135"/>
      <c r="D27" s="135"/>
      <c r="E27" s="441">
        <f>IFERROR(INDEX(ProductsMaster[Sale Price],MATCH($B27,ProductsMaster[Description],0)),"")</f>
      </c>
    </row>
    <row r="28" spans="2:5" ht="14.25" customHeight="1">
      <c r="B28" s="777" t="s">
        <v>679</v>
      </c>
      <c r="C28" s="135"/>
      <c r="D28" s="135"/>
      <c r="E28" s="441">
        <f>IFERROR(INDEX(ProductsMaster[Sale Price],MATCH($B28,ProductsMaster[Description],0)),"")</f>
      </c>
    </row>
    <row r="29" spans="2:5" ht="14.25" customHeight="1">
      <c r="B29" s="777" t="s">
        <v>681</v>
      </c>
      <c r="C29" s="135"/>
      <c r="D29" s="135"/>
      <c r="E29" s="441">
        <f>IFERROR(INDEX(ProductsMaster[Sale Price],MATCH($B29,ProductsMaster[Description],0)),"")</f>
      </c>
    </row>
    <row r="30" spans="2:5" ht="14.25" customHeight="1">
      <c r="B30" s="777" t="s">
        <v>683</v>
      </c>
      <c r="C30" s="135"/>
      <c r="D30" s="135"/>
      <c r="E30" s="441">
        <f>IFERROR(INDEX(ProductsMaster[Sale Price],MATCH($B30,ProductsMaster[Description],0)),"")</f>
      </c>
    </row>
    <row r="31" spans="2:5" ht="14.25" customHeight="1">
      <c r="B31" s="777" t="s">
        <v>685</v>
      </c>
      <c r="C31" s="135"/>
      <c r="D31" s="135"/>
      <c r="E31" s="441">
        <f>IFERROR(INDEX(ProductsMaster[Sale Price],MATCH($B31,ProductsMaster[Description],0)),"")</f>
      </c>
    </row>
    <row r="32" spans="2:5" ht="14.25" customHeight="1">
      <c r="B32" s="778" t="s">
        <v>687</v>
      </c>
      <c r="C32" s="720"/>
      <c r="D32" s="720"/>
      <c r="E32" s="721">
        <f>IFERROR(INDEX(ProductsMaster[Sale Price],MATCH($B32,ProductsMaster[Description],0)),"")</f>
      </c>
    </row>
    <row r="33" spans="2:5" ht="14.25" customHeight="1">
      <c r="B33" s="779" t="s">
        <v>1707</v>
      </c>
      <c r="C33" s="722"/>
      <c r="D33" s="722"/>
      <c r="E33" s="721">
        <f>'Merch Pre-Order (COGS)'!G5</f>
      </c>
    </row>
    <row r="34" spans="2:5" ht="14.25" customHeight="1">
      <c r="B34" s="779" t="s">
        <v>1708</v>
      </c>
      <c r="C34" s="722"/>
      <c r="D34" s="722"/>
      <c r="E34" s="721">
        <f>'Merch Pre-Order (COGS)'!G6</f>
      </c>
    </row>
    <row r="35" spans="2:5" ht="14.25" customHeight="1">
      <c r="B35" s="779" t="s">
        <v>1709</v>
      </c>
      <c r="C35" s="722"/>
      <c r="D35" s="722"/>
      <c r="E35" s="721">
        <f>'Merch Pre-Order (COGS)'!G7</f>
      </c>
    </row>
    <row r="36" spans="2:5" ht="14.25" customHeight="1"/>
    <row r="37" spans="2:5" ht="14.25" customHeight="1"/>
    <row r="38" spans="2:5" ht="14.25" customHeight="1"/>
    <row r="39" spans="2:5" ht="14.25" customHeight="1"/>
    <row r="40" spans="2:5" ht="14.25" customHeight="1"/>
    <row r="41" spans="2:5" ht="14.25" customHeight="1"/>
    <row r="42" spans="2:5" ht="14.25" customHeight="1"/>
    <row r="43" spans="2:5" ht="14.25" customHeight="1"/>
    <row r="44" spans="2:5" ht="14.25" customHeight="1"/>
    <row r="45" spans="2:5" ht="14.25" customHeight="1"/>
    <row r="46" spans="2:5" ht="14.25" customHeight="1"/>
    <row r="47" spans="2:5" ht="14.25" customHeight="1"/>
    <row r="48" spans="2: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scale="113" orientation="portrait"/>
  <legacy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8FDA0-D495-41DA-B94E-8830F5575381}">
  <sheetPr>
    <tabColor rgb="FF9DC3E6"/>
  </sheetPr>
  <dimension ref="A1:I7"/>
  <sheetViews>
    <sheetView workbookViewId="0">
      <selection activeCell="C3" sqref="C3"/>
    </sheetView>
  </sheetViews>
  <sheetFormatPr defaultRowHeight="14.4"/>
  <cols>
    <col min="1" max="1" width="19.44140625" bestFit="1" customWidth="1"/>
    <col min="2" max="2" width="17.88671875" bestFit="1" customWidth="1"/>
    <col min="3" max="3" width="25.44140625" bestFit="1" customWidth="1"/>
    <col min="4" max="4" width="11" bestFit="1" customWidth="1"/>
    <col min="5" max="5" width="26.88671875" bestFit="1" customWidth="1"/>
    <col min="6" max="6" width="6.44140625" bestFit="1" customWidth="1"/>
    <col min="7" max="7" width="6.21875" bestFit="1" customWidth="1"/>
    <col min="8" max="8" width="18.6640625" bestFit="1" customWidth="1"/>
    <col min="9" max="9" width="16.33203125" bestFit="1" customWidth="1"/>
  </cols>
  <sheetData>
    <row r="1">
      <c r="A1" t="s">
        <v>802</v>
      </c>
      <c r="B1" t="s">
        <v>290</v>
      </c>
      <c r="C1" t="s">
        <v>525</v>
      </c>
      <c r="D1" t="s">
        <v>526</v>
      </c>
      <c r="E1" t="s">
        <v>121</v>
      </c>
      <c r="F1" t="s">
        <v>1878</v>
      </c>
      <c r="G1" t="s">
        <v>1857</v>
      </c>
      <c r="H1" t="s">
        <v>1007</v>
      </c>
      <c r="I1" t="s">
        <v>2011</v>
      </c>
      <c r="K1" s="805" t="s">
        <v>2012</v>
      </c>
    </row>
    <row r="2" spans="1:9">
      <c r="A2" t="s">
        <v>2013</v>
      </c>
      <c r="B2" t="s">
        <v>2014</v>
      </c>
      <c r="C2" t="s">
        <v>2015</v>
      </c>
      <c r="D2" t="s">
        <v>727</v>
      </c>
      <c r="E2" t="s">
        <v>1707</v>
      </c>
      <c r="F2" t="s">
        <v>1535</v>
      </c>
      <c r="G2">
        <v>1</v>
      </c>
      <c r="I2" t="s">
        <v>2016</v>
      </c>
    </row>
    <row r="3" spans="1:9">
      <c r="A3" t="s">
        <v>2017</v>
      </c>
      <c r="B3" t="s">
        <v>2018</v>
      </c>
      <c r="C3" t="s">
        <v>2019</v>
      </c>
      <c r="D3" t="s">
        <v>731</v>
      </c>
      <c r="E3" t="s">
        <v>1709</v>
      </c>
      <c r="F3" t="s">
        <v>2020</v>
      </c>
      <c r="G3">
        <v>1</v>
      </c>
      <c r="H3" t="s">
        <v>2021</v>
      </c>
      <c r="I3" t="s">
        <v>2016</v>
      </c>
    </row>
    <row r="4" spans="1:9">
      <c r="A4" t="s">
        <v>2022</v>
      </c>
      <c r="B4" t="s">
        <v>2023</v>
      </c>
      <c r="C4" t="s">
        <v>2024</v>
      </c>
      <c r="D4" t="s">
        <v>732</v>
      </c>
      <c r="E4" t="s">
        <v>1708</v>
      </c>
      <c r="F4" t="s">
        <v>2025</v>
      </c>
      <c r="G4">
        <v>2</v>
      </c>
      <c r="H4"/>
      <c r="I4" t="s">
        <v>2026</v>
      </c>
    </row>
    <row r="5" spans="1:9">
      <c r="A5" t="s">
        <v>2027</v>
      </c>
      <c r="B5" t="s">
        <v>2028</v>
      </c>
      <c r="C5" t="s">
        <v>2029</v>
      </c>
      <c r="D5" t="s">
        <v>735</v>
      </c>
      <c r="E5" t="s">
        <v>1707</v>
      </c>
      <c r="F5" t="s">
        <v>2030</v>
      </c>
      <c r="G5">
        <v>1</v>
      </c>
      <c r="I5" t="s">
        <v>2026</v>
      </c>
    </row>
    <row r="6">
      <c r="A6" t="s">
        <v>2031</v>
      </c>
      <c r="B6" t="s">
        <v>2032</v>
      </c>
      <c r="C6" t="s">
        <v>2033</v>
      </c>
      <c r="D6" t="s">
        <v>736</v>
      </c>
      <c r="E6" t="s">
        <v>1709</v>
      </c>
      <c r="F6" t="s">
        <v>1535</v>
      </c>
      <c r="G6">
        <v>1</v>
      </c>
      <c r="H6" t="s">
        <v>2034</v>
      </c>
      <c r="I6" t="s">
        <v>2016</v>
      </c>
    </row>
    <row r="7" spans="1:9">
      <c r="A7" t="s">
        <v>2035</v>
      </c>
      <c r="B7" t="s">
        <v>2036</v>
      </c>
      <c r="C7" t="s">
        <v>2037</v>
      </c>
      <c r="D7" t="s">
        <v>740</v>
      </c>
      <c r="E7" t="s">
        <v>1707</v>
      </c>
      <c r="F7" t="s">
        <v>2038</v>
      </c>
      <c r="G7">
        <v>2</v>
      </c>
      <c r="I7" t="s">
        <v>2016</v>
      </c>
    </row>
  </sheetData>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BD17D-7F97-49F3-8312-628001629845}">
  <sheetPr>
    <tabColor rgb="FF595959"/>
  </sheetPr>
  <dimension ref="A1"/>
  <sheetViews>
    <sheetView workbookViewId="0"/>
  </sheetViews>
  <sheetFormatPr defaultRowHeight="14.4"/>
  <sheetData>
    <row r="1" spans="1:1" ht="23.4">
      <c r="A1" s="156" t="s">
        <v>82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5285E-067D-499C-851E-ED1186086B37}">
  <sheetPr>
    <tabColor rgb="FFBFBFBF"/>
  </sheetPr>
  <dimension ref="A1:AN37"/>
  <sheetViews>
    <sheetView showGridLines="0" workbookViewId="0">
      <selection activeCell="AE14" sqref="AE14"/>
    </sheetView>
  </sheetViews>
  <sheetFormatPr defaultColWidth="14.44140625" defaultRowHeight="15" customHeight="1"/>
  <cols>
    <col min="1" max="2" width="5.88671875" style="55" customWidth="1"/>
    <col min="3" max="4" width="3.44140625" style="55" customWidth="1"/>
    <col min="5" max="5" width="5.88671875" style="55" customWidth="1"/>
    <col min="6" max="6" width="8" style="55" customWidth="1"/>
    <col min="7" max="7" width="2.109375" style="55" customWidth="1"/>
    <col min="8" max="8" width="5.88671875" style="55" customWidth="1"/>
    <col min="9" max="9" width="2.109375" style="55" customWidth="1"/>
    <col min="10" max="10" width="1.109375" style="55" customWidth="1"/>
    <col min="11" max="11" width="2.109375" style="55" customWidth="1"/>
    <col min="12" max="15" width="5.88671875" style="55" customWidth="1"/>
    <col min="16" max="17" width="3.44140625" style="55" customWidth="1"/>
    <col min="18" max="18" width="6.88671875" style="55" customWidth="1"/>
    <col min="19" max="19" width="3.44140625" style="55" customWidth="1"/>
    <col min="20" max="20" width="1.109375" style="55" customWidth="1"/>
    <col min="21" max="21" width="6.88671875" style="55" customWidth="1"/>
    <col min="22" max="22" width="4.5546875" style="55" customWidth="1"/>
    <col min="23" max="23" width="3.44140625" style="55" customWidth="1"/>
    <col min="24" max="24" width="2.109375" style="55" customWidth="1"/>
    <col min="25" max="28" width="5.88671875" style="55" customWidth="1"/>
    <col min="29" max="29" width="4.5546875" style="55" customWidth="1"/>
    <col min="30" max="30" width="14.44140625" style="55"/>
    <col min="31" max="31" width="48.33203125" style="55" customWidth="1"/>
    <col min="32" max="32" width="8.6640625" style="55" customWidth="1"/>
    <col min="33" max="40" width="14.44140625" style="55" customWidth="1"/>
    <col min="41" max="16384" width="14.44140625" style="55"/>
  </cols>
  <sheetData>
    <row r="1" spans="1:40" ht="159.75" customHeight="1">
      <c r="A1" s="932"/>
      <c r="B1" s="872"/>
      <c r="C1" s="872"/>
      <c r="D1" s="872"/>
      <c r="E1" s="872"/>
      <c r="F1" s="872"/>
      <c r="G1" s="872"/>
      <c r="H1" s="872"/>
      <c r="I1" s="872"/>
      <c r="J1" s="872"/>
      <c r="K1" s="933" t="s">
        <v>2039</v>
      </c>
      <c r="L1" s="934"/>
      <c r="M1" s="933"/>
      <c r="N1" s="933"/>
      <c r="O1" s="933"/>
      <c r="P1" s="933"/>
      <c r="Q1" s="933"/>
      <c r="R1" s="933"/>
      <c r="S1" s="935"/>
      <c r="T1" s="872"/>
      <c r="U1" s="872"/>
      <c r="V1" s="872"/>
      <c r="W1" s="872"/>
      <c r="X1" s="872"/>
      <c r="Y1" s="872"/>
      <c r="Z1" s="872"/>
      <c r="AA1" s="936"/>
      <c r="AB1" s="872"/>
      <c r="AC1" s="872"/>
      <c r="AD1" s="172" t="s">
        <v>2040</v>
      </c>
      <c r="AE1" s="172"/>
      <c r="AF1" s="172"/>
      <c r="AG1" s="172"/>
      <c r="AH1" s="172"/>
      <c r="AI1" s="172"/>
      <c r="AJ1" s="172"/>
      <c r="AK1" s="172"/>
      <c r="AL1" s="172"/>
      <c r="AM1" s="172"/>
      <c r="AN1" s="172"/>
    </row>
    <row r="2" spans="1:40" ht="27" customHeight="1" thickBot="1">
      <c r="A2" s="937">
        <f>$AE$3</f>
      </c>
      <c r="B2" s="938"/>
      <c r="C2" s="938"/>
      <c r="D2" s="938"/>
      <c r="E2" s="938"/>
      <c r="F2" s="938"/>
      <c r="G2" s="938"/>
      <c r="H2" s="938"/>
      <c r="I2" s="938"/>
      <c r="J2" s="938"/>
      <c r="K2" s="938"/>
      <c r="L2" s="938"/>
      <c r="M2" s="938"/>
      <c r="N2" s="939"/>
      <c r="O2" s="937">
        <f>$AE$4</f>
      </c>
      <c r="P2" s="938"/>
      <c r="Q2" s="938"/>
      <c r="R2" s="938"/>
      <c r="S2" s="938"/>
      <c r="T2" s="938"/>
      <c r="U2" s="938"/>
      <c r="V2" s="938"/>
      <c r="W2" s="938"/>
      <c r="X2" s="938"/>
      <c r="Y2" s="938"/>
      <c r="Z2" s="938"/>
      <c r="AA2" s="940"/>
      <c r="AB2" s="939"/>
      <c r="AC2" s="56"/>
      <c r="AD2" s="270" t="s">
        <v>803</v>
      </c>
      <c r="AE2" s="442">
        <f>$AB$3</f>
      </c>
      <c r="AF2" s="209"/>
      <c r="AG2" s="209"/>
      <c r="AH2" s="209"/>
      <c r="AI2" s="209"/>
      <c r="AJ2" s="209"/>
      <c r="AK2" s="209"/>
      <c r="AL2" s="209"/>
      <c r="AM2" s="209"/>
      <c r="AN2" s="209"/>
    </row>
    <row r="3" spans="1:40" ht="27" customHeight="1" thickBot="1">
      <c r="A3" s="941">
        <f>"Played in "&amp;Inputs!C23&amp;" on "&amp;TEXT($AE$15,"dddd, mmm d, yyyy")&amp;" at "&amp;TEXT($AE$16,"h:mm AM/PM")&amp;"        Spectators"</f>
      </c>
      <c r="B3" s="911"/>
      <c r="C3" s="911"/>
      <c r="D3" s="911"/>
      <c r="E3" s="911"/>
      <c r="F3" s="911"/>
      <c r="G3" s="911"/>
      <c r="H3" s="911"/>
      <c r="I3" s="911"/>
      <c r="J3" s="911"/>
      <c r="K3" s="911"/>
      <c r="L3" s="911"/>
      <c r="M3" s="911"/>
      <c r="N3" s="911"/>
      <c r="O3" s="911"/>
      <c r="P3" s="911"/>
      <c r="Q3" s="911"/>
      <c r="R3" s="911"/>
      <c r="S3" s="911"/>
      <c r="T3" s="911"/>
      <c r="U3" s="911"/>
      <c r="V3" s="911"/>
      <c r="W3" s="911"/>
      <c r="X3" s="911"/>
      <c r="Y3" s="911"/>
      <c r="Z3" s="911"/>
      <c r="AA3" s="708" t="s">
        <v>2041</v>
      </c>
      <c r="AB3" s="709">
        <v>1</v>
      </c>
      <c r="AC3"/>
      <c r="AD3" s="270"/>
      <c r="AE3" s="443">
        <f>IFERROR(INDEX('Games Schedule'!$N$5:$N$31,MATCH($AB$3,'Games Schedule'!$C$5:$C$31,0)),"")</f>
      </c>
      <c r="AF3" s="209"/>
      <c r="AG3" s="209"/>
      <c r="AH3" s="209"/>
      <c r="AI3" s="209"/>
      <c r="AJ3" s="209"/>
      <c r="AK3" s="209"/>
      <c r="AL3" s="209"/>
      <c r="AM3" s="209"/>
      <c r="AN3" s="209"/>
    </row>
    <row r="4" spans="1:40" ht="27.75" customHeight="1" thickBot="1">
      <c r="A4" s="926" t="s">
        <v>2042</v>
      </c>
      <c r="B4" s="927"/>
      <c r="C4" s="928" t="s">
        <v>2043</v>
      </c>
      <c r="D4" s="929"/>
      <c r="E4" s="201" t="s">
        <v>2044</v>
      </c>
      <c r="F4" s="910" t="s">
        <v>2045</v>
      </c>
      <c r="G4" s="911"/>
      <c r="H4" s="911"/>
      <c r="I4" s="928" t="s">
        <v>2043</v>
      </c>
      <c r="J4" s="930"/>
      <c r="K4" s="929"/>
      <c r="L4" s="202" t="s">
        <v>2044</v>
      </c>
      <c r="M4" s="931" t="s">
        <v>2046</v>
      </c>
      <c r="N4" s="911"/>
      <c r="O4" s="202" t="s">
        <v>2043</v>
      </c>
      <c r="P4" s="928" t="s">
        <v>2044</v>
      </c>
      <c r="Q4" s="929"/>
      <c r="R4" s="910" t="s">
        <v>2047</v>
      </c>
      <c r="S4" s="911"/>
      <c r="T4" s="911"/>
      <c r="U4" s="202" t="s">
        <v>2043</v>
      </c>
      <c r="V4" s="202" t="s">
        <v>2044</v>
      </c>
      <c r="W4" s="910" t="s">
        <v>2048</v>
      </c>
      <c r="X4" s="911"/>
      <c r="Y4" s="911"/>
      <c r="Z4" s="911"/>
      <c r="AA4" s="203"/>
      <c r="AB4" s="325"/>
      <c r="AC4" s="56"/>
      <c r="AD4" s="270"/>
      <c r="AE4" s="443">
        <f>IFERROR(INDEX('Games Schedule'!$O$5:$O$31,MATCH($AB$3,'Games Schedule'!$C$5:$C$31,0)),"")</f>
      </c>
      <c r="AF4"/>
      <c r="AG4" s="209"/>
      <c r="AH4" s="209"/>
      <c r="AI4" s="209"/>
      <c r="AJ4" s="209"/>
      <c r="AK4" s="209"/>
      <c r="AL4" s="209"/>
      <c r="AM4" s="209"/>
      <c r="AN4" s="209"/>
    </row>
    <row r="5" spans="1:40" ht="13.2" customHeight="1">
      <c r="A5" s="912" t="s">
        <v>2049</v>
      </c>
      <c r="B5" s="913"/>
      <c r="C5" s="916" t="s">
        <v>2043</v>
      </c>
      <c r="D5" s="913"/>
      <c r="E5" s="917" t="s">
        <v>2050</v>
      </c>
      <c r="F5" s="918"/>
      <c r="G5" s="918"/>
      <c r="H5" s="919"/>
      <c r="I5" s="920" t="s">
        <v>2051</v>
      </c>
      <c r="J5" s="872"/>
      <c r="K5" s="872"/>
      <c r="L5" s="872"/>
      <c r="M5" s="872"/>
      <c r="N5" s="872"/>
      <c r="O5" s="872"/>
      <c r="P5" s="872"/>
      <c r="Q5" s="872"/>
      <c r="R5" s="872"/>
      <c r="S5" s="872"/>
      <c r="T5" s="921"/>
      <c r="U5" s="923" t="s">
        <v>2050</v>
      </c>
      <c r="V5" s="918"/>
      <c r="W5" s="918"/>
      <c r="X5" s="918"/>
      <c r="Y5" s="918"/>
      <c r="Z5" s="924" t="s">
        <v>2044</v>
      </c>
      <c r="AA5" s="912" t="s">
        <v>2049</v>
      </c>
      <c r="AB5" s="913"/>
      <c r="AC5" s="57"/>
      <c r="AD5" s="270"/>
      <c r="AE5" s="443">
        <f>IFERROR(INDEX('Games Schedule'!$L$5:$L$31,MATCH($AB$3,'Games Schedule'!$C$5:$C$31,0)),"")</f>
      </c>
      <c r="AF5"/>
      <c r="AG5" s="209"/>
      <c r="AH5" s="209"/>
      <c r="AI5" s="209"/>
      <c r="AJ5" s="209"/>
      <c r="AK5" s="209"/>
      <c r="AL5" s="209"/>
      <c r="AM5" s="209"/>
      <c r="AN5" s="209"/>
    </row>
    <row r="6" spans="1:40" ht="18" customHeight="1" thickBot="1">
      <c r="A6" s="914"/>
      <c r="B6" s="915"/>
      <c r="C6" s="914"/>
      <c r="D6" s="915"/>
      <c r="E6" s="204" t="s">
        <v>2052</v>
      </c>
      <c r="F6" s="445">
        <v>2</v>
      </c>
      <c r="G6" s="942" t="s">
        <v>2053</v>
      </c>
      <c r="H6" s="943"/>
      <c r="I6" s="922"/>
      <c r="J6" s="918"/>
      <c r="K6" s="918"/>
      <c r="L6" s="918"/>
      <c r="M6" s="918"/>
      <c r="N6" s="918"/>
      <c r="O6" s="918"/>
      <c r="P6" s="918"/>
      <c r="Q6" s="918"/>
      <c r="R6" s="918"/>
      <c r="S6" s="918"/>
      <c r="T6" s="919"/>
      <c r="U6" s="205" t="s">
        <v>2052</v>
      </c>
      <c r="V6" s="944">
        <v>2</v>
      </c>
      <c r="W6" s="943"/>
      <c r="X6" s="945">
        <v>3</v>
      </c>
      <c r="Y6" s="911"/>
      <c r="Z6" s="925"/>
      <c r="AA6" s="914"/>
      <c r="AB6" s="915"/>
      <c r="AC6" s="56"/>
      <c r="AD6" s="270"/>
      <c r="AE6" s="443">
        <f>IFERROR(INDEX('Games Schedule'!$M$5:$M$31,MATCH($AB$3,'Games Schedule'!$C$5:$C$31,0)),"")</f>
      </c>
      <c r="AF6"/>
      <c r="AG6" s="171" t="s">
        <v>2054</v>
      </c>
      <c r="AH6" s="171" t="s">
        <v>1416</v>
      </c>
      <c r="AI6" s="171" t="s">
        <v>2055</v>
      </c>
      <c r="AJ6" s="171" t="s">
        <v>2056</v>
      </c>
      <c r="AK6" s="171" t="s">
        <v>2057</v>
      </c>
      <c r="AL6" s="171" t="s">
        <v>1416</v>
      </c>
      <c r="AM6" s="171" t="s">
        <v>2055</v>
      </c>
      <c r="AN6" s="171" t="s">
        <v>2056</v>
      </c>
    </row>
    <row r="7" spans="1:40" ht="13.5" customHeight="1">
      <c r="A7" s="252" t="s">
        <v>2058</v>
      </c>
      <c r="B7" s="902" t="s">
        <v>2059</v>
      </c>
      <c r="C7" s="903"/>
      <c r="D7" s="903"/>
      <c r="E7" s="903"/>
      <c r="F7" s="903"/>
      <c r="G7" s="904"/>
      <c r="H7" s="253" t="s">
        <v>2060</v>
      </c>
      <c r="I7" s="905" t="s">
        <v>2061</v>
      </c>
      <c r="J7" s="906"/>
      <c r="K7" s="907"/>
      <c r="L7" s="253" t="s">
        <v>2062</v>
      </c>
      <c r="M7" s="254" t="s">
        <v>2063</v>
      </c>
      <c r="N7" s="254" t="s">
        <v>2064</v>
      </c>
      <c r="O7" s="253" t="s">
        <v>2058</v>
      </c>
      <c r="P7" s="908" t="s">
        <v>2065</v>
      </c>
      <c r="Q7" s="906"/>
      <c r="R7" s="906"/>
      <c r="S7" s="906"/>
      <c r="T7" s="906"/>
      <c r="U7" s="906"/>
      <c r="V7" s="907"/>
      <c r="W7" s="909" t="s">
        <v>2060</v>
      </c>
      <c r="X7" s="907"/>
      <c r="Y7" s="253" t="s">
        <v>2061</v>
      </c>
      <c r="Z7" s="255" t="s">
        <v>2062</v>
      </c>
      <c r="AA7" s="256" t="s">
        <v>2063</v>
      </c>
      <c r="AB7" s="256" t="s">
        <v>2064</v>
      </c>
      <c r="AC7" s="57"/>
      <c r="AD7" s="270" t="s">
        <v>458</v>
      </c>
      <c r="AE7" s="443">
        <f>IFERROR(INDEX('Games Schedule'!$I$5:$I$31,MATCH($AB$3,'Games Schedule'!$C$5:$C$31,0)),"")</f>
      </c>
      <c r="AF7"/>
      <c r="AG7" s="444" cm="1">
        <f t="array" ref="AG7">IFERROR(INDEX('Rosters Master'!$M$2:$M$261,SMALL(IF(('Rosters Master'!$A$2:$A$261=$AE$3)*('Rosters Master'!$B$2:$B$261="Player"),ROW('Rosters Master'!$A$2:$A$261)-1),1)),"")</f>
      </c>
      <c r="AH7" s="444" cm="1">
        <f t="array" ref="AH7">IFERROR(INDEX('Rosters Master'!$C$2:$C$261,SMALL(IF(('Rosters Master'!$A$2:$A$261=$AE$3)*('Rosters Master'!$B$2:$B$261="Player"),ROW('Rosters Master'!$A$2:$A$261)-1),1)),"")</f>
      </c>
      <c r="AI7" s="444" cm="1">
        <f t="array" ref="AI7">IFERROR(INDEX('Rosters Master'!$D$2:$D$261,SMALL(IF(('Rosters Master'!$A$2:$A$261=$AE$3)*('Rosters Master'!$B$2:$B$261="Player"),ROW('Rosters Master'!$A$2:$A$261)-1),1)),"")</f>
      </c>
      <c r="AJ7" s="444" cm="1">
        <f t="array" ref="AJ7">IFERROR(INDEX('Rosters Master'!$E$2:$E$261,SMALL(IF(('Rosters Master'!$A$2:$A$261=$AE$3)*('Rosters Master'!$B$2:$B$261="Player"),ROW('Rosters Master'!$A$2:$A$261)-1),1)),"")</f>
      </c>
      <c r="AK7" s="444" cm="1">
        <f t="array" ref="AK7">IFERROR(INDEX('Rosters Master'!$M$2:$M$261,SMALL(IF(('Rosters Master'!$A$2:$A$261=$AE$4)*('Rosters Master'!$B$2:$B$261="Player"),ROW('Rosters Master'!$A$2:$A$261)-1),1)),"")</f>
      </c>
      <c r="AL7" s="444" cm="1">
        <f t="array" ref="AL7">IFERROR(INDEX('Rosters Master'!$C$2:$C$261,SMALL(IF(('Rosters Master'!$A$2:$A$261=$AE$4)*('Rosters Master'!$B$2:$B$261="Player"),ROW('Rosters Master'!$A$2:$A$261)-1),1)),"")</f>
      </c>
      <c r="AM7" s="444" cm="1">
        <f t="array" ref="AM7">IFERROR(INDEX('Rosters Master'!$D$2:$D$261,SMALL(IF(('Rosters Master'!$A$2:$A$261=$AE$4)*('Rosters Master'!$B$2:$B$261="Player"),ROW('Rosters Master'!$A$2:$A$261)-1),1)),"")</f>
      </c>
      <c r="AN7" s="444" cm="1">
        <f t="array" ref="AN7">IFERROR(INDEX('Rosters Master'!$E$2:$E$261,SMALL(IF(('Rosters Master'!$A$2:$A$261=$AE$4)*('Rosters Master'!$B$2:$B$261="Player"),ROW('Rosters Master'!$A$2:$A$261)-1),1)),"")</f>
      </c>
    </row>
    <row r="8" spans="1:40" ht="13.5" customHeight="1">
      <c r="A8" s="173">
        <f t="shared" ref="A8:A20" si="0">IF($AH7="","",$AH7)</f>
      </c>
      <c r="B8" s="884">
        <f t="shared" ref="B8:B20" si="1">IF($AI7="","",TRIM($AI7&amp;" "&amp;$AJ7))</f>
      </c>
      <c r="C8" s="885"/>
      <c r="D8" s="885"/>
      <c r="E8" s="885"/>
      <c r="F8" s="885"/>
      <c r="G8" s="886"/>
      <c r="H8" s="206"/>
      <c r="I8" s="893"/>
      <c r="J8" s="888"/>
      <c r="K8" s="889"/>
      <c r="L8" s="174"/>
      <c r="M8" s="175"/>
      <c r="N8" s="175"/>
      <c r="O8" s="176">
        <f t="shared" ref="O8:O20" si="2">IF($AL7="","",$AL7)</f>
      </c>
      <c r="P8" s="884">
        <f t="shared" ref="P8:P20" si="3">IF($AM7="","",TRIM($AM7&amp;" "&amp;$AN7))</f>
      </c>
      <c r="Q8" s="885"/>
      <c r="R8" s="885"/>
      <c r="S8" s="885"/>
      <c r="T8" s="885"/>
      <c r="U8" s="885"/>
      <c r="V8" s="886"/>
      <c r="W8" s="894"/>
      <c r="X8" s="889"/>
      <c r="Y8" s="174"/>
      <c r="Z8" s="174"/>
      <c r="AA8" s="174"/>
      <c r="AB8" s="175"/>
      <c r="AC8" s="62"/>
      <c r="AD8" s="270" t="s">
        <v>814</v>
      </c>
      <c r="AE8" s="443">
        <f>IFERROR(INDEX('Games Schedule'!$P$5:$P$31,MATCH($AB$3,'Games Schedule'!$C$5:$C$31,0)),"")</f>
      </c>
      <c r="AF8"/>
      <c r="AG8" s="444" cm="1">
        <f t="array" ref="AG8">IFERROR(INDEX('Rosters Master'!$M$2:$M$261,SMALL(IF(('Rosters Master'!$A$2:$A$261=$AE$3)*('Rosters Master'!$B$2:$B$261="Player"),ROW('Rosters Master'!$A$2:$A$261)-1),2)),"")</f>
      </c>
      <c r="AH8" s="444" cm="1">
        <f t="array" ref="AH8">IFERROR(INDEX('Rosters Master'!$C$2:$C$261,SMALL(IF(('Rosters Master'!$A$2:$A$261=$AE$3)*('Rosters Master'!$B$2:$B$261="Player"),ROW('Rosters Master'!$A$2:$A$261)-1),2)),"")</f>
      </c>
      <c r="AI8" s="444" cm="1">
        <f t="array" ref="AI8">IFERROR(INDEX('Rosters Master'!$D$2:$D$261,SMALL(IF(('Rosters Master'!$A$2:$A$261=$AE$3)*('Rosters Master'!$B$2:$B$261="Player"),ROW('Rosters Master'!$A$2:$A$261)-1),2)),"")</f>
      </c>
      <c r="AJ8" s="444" cm="1">
        <f t="array" ref="AJ8">IFERROR(INDEX('Rosters Master'!$E$2:$E$261,SMALL(IF(('Rosters Master'!$A$2:$A$261=$AE$3)*('Rosters Master'!$B$2:$B$261="Player"),ROW('Rosters Master'!$A$2:$A$261)-1),2)),"")</f>
      </c>
      <c r="AK8" s="444" cm="1">
        <f t="array" ref="AK8">IFERROR(INDEX('Rosters Master'!$M$2:$M$261,SMALL(IF(('Rosters Master'!$A$2:$A$261=$AE$4)*('Rosters Master'!$B$2:$B$261="Player"),ROW('Rosters Master'!$A$2:$A$261)-1),2)),"")</f>
      </c>
      <c r="AL8" s="444" cm="1">
        <f t="array" ref="AL8">IFERROR(INDEX('Rosters Master'!$C$2:$C$261,SMALL(IF(('Rosters Master'!$A$2:$A$261=$AE$4)*('Rosters Master'!$B$2:$B$261="Player"),ROW('Rosters Master'!$A$2:$A$261)-1),2)),"")</f>
      </c>
      <c r="AM8" s="444" cm="1">
        <f t="array" ref="AM8">IFERROR(INDEX('Rosters Master'!$D$2:$D$261,SMALL(IF(('Rosters Master'!$A$2:$A$261=$AE$4)*('Rosters Master'!$B$2:$B$261="Player"),ROW('Rosters Master'!$A$2:$A$261)-1),2)),"")</f>
      </c>
      <c r="AN8" s="444" cm="1">
        <f t="array" ref="AN8">IFERROR(INDEX('Rosters Master'!$E$2:$E$261,SMALL(IF(('Rosters Master'!$A$2:$A$261=$AE$4)*('Rosters Master'!$B$2:$B$261="Player"),ROW('Rosters Master'!$A$2:$A$261)-1),2)),"")</f>
      </c>
    </row>
    <row r="9" spans="1:40" ht="15" customHeight="1">
      <c r="A9" s="177">
        <f t="shared" si="0"/>
      </c>
      <c r="B9" s="895">
        <f t="shared" si="1"/>
      </c>
      <c r="C9" s="896"/>
      <c r="D9" s="896"/>
      <c r="E9" s="896"/>
      <c r="F9" s="896"/>
      <c r="G9" s="897"/>
      <c r="H9" s="207"/>
      <c r="I9" s="898"/>
      <c r="J9" s="899"/>
      <c r="K9" s="900"/>
      <c r="L9" s="178"/>
      <c r="M9" s="179"/>
      <c r="N9" s="179"/>
      <c r="O9" s="180">
        <f t="shared" si="2"/>
      </c>
      <c r="P9" s="895">
        <f t="shared" si="3"/>
      </c>
      <c r="Q9" s="896"/>
      <c r="R9" s="896"/>
      <c r="S9" s="896"/>
      <c r="T9" s="896"/>
      <c r="U9" s="896"/>
      <c r="V9" s="897"/>
      <c r="W9" s="901"/>
      <c r="X9" s="900"/>
      <c r="Y9" s="178"/>
      <c r="Z9" s="181"/>
      <c r="AA9" s="178"/>
      <c r="AB9" s="179"/>
      <c r="AC9" s="62"/>
      <c r="AD9" s="270" t="s">
        <v>2066</v>
      </c>
      <c r="AE9" s="443">
        <f>IFERROR(INDEX('Games Schedule'!$Q$5:$Q$31,MATCH($AB$3,'Games Schedule'!$C$5:$C$31,0)),"")</f>
      </c>
      <c r="AF9"/>
      <c r="AG9" s="444" cm="1">
        <f t="array" ref="AG9">IFERROR(INDEX('Rosters Master'!$M$2:$M$261,SMALL(IF(('Rosters Master'!$A$2:$A$261=$AE$3)*('Rosters Master'!$B$2:$B$261="Player"),ROW('Rosters Master'!$A$2:$A$261)-1),3)),"")</f>
      </c>
      <c r="AH9" s="444" cm="1">
        <f t="array" ref="AH9">IFERROR(INDEX('Rosters Master'!$C$2:$C$261,SMALL(IF(('Rosters Master'!$A$2:$A$261=$AE$3)*('Rosters Master'!$B$2:$B$261="Player"),ROW('Rosters Master'!$A$2:$A$261)-1),3)),"")</f>
      </c>
      <c r="AI9" s="444" cm="1">
        <f t="array" ref="AI9">IFERROR(INDEX('Rosters Master'!$D$2:$D$261,SMALL(IF(('Rosters Master'!$A$2:$A$261=$AE$3)*('Rosters Master'!$B$2:$B$261="Player"),ROW('Rosters Master'!$A$2:$A$261)-1),3)),"")</f>
      </c>
      <c r="AJ9" s="444" cm="1">
        <f t="array" ref="AJ9">IFERROR(INDEX('Rosters Master'!$E$2:$E$261,SMALL(IF(('Rosters Master'!$A$2:$A$261=$AE$3)*('Rosters Master'!$B$2:$B$261="Player"),ROW('Rosters Master'!$A$2:$A$261)-1),3)),"")</f>
      </c>
      <c r="AK9" s="444" cm="1">
        <f t="array" ref="AK9">IFERROR(INDEX('Rosters Master'!$M$2:$M$261,SMALL(IF(('Rosters Master'!$A$2:$A$261=$AE$4)*('Rosters Master'!$B$2:$B$261="Player"),ROW('Rosters Master'!$A$2:$A$261)-1),3)),"")</f>
      </c>
      <c r="AL9" s="444" cm="1">
        <f t="array" ref="AL9">IFERROR(INDEX('Rosters Master'!$C$2:$C$261,SMALL(IF(('Rosters Master'!$A$2:$A$261=$AE$4)*('Rosters Master'!$B$2:$B$261="Player"),ROW('Rosters Master'!$A$2:$A$261)-1),3)),"")</f>
      </c>
      <c r="AM9" s="444" cm="1">
        <f t="array" ref="AM9">IFERROR(INDEX('Rosters Master'!$D$2:$D$261,SMALL(IF(('Rosters Master'!$A$2:$A$261=$AE$4)*('Rosters Master'!$B$2:$B$261="Player"),ROW('Rosters Master'!$A$2:$A$261)-1),3)),"")</f>
      </c>
      <c r="AN9" s="444" cm="1">
        <f t="array" ref="AN9">IFERROR(INDEX('Rosters Master'!$E$2:$E$261,SMALL(IF(('Rosters Master'!$A$2:$A$261=$AE$4)*('Rosters Master'!$B$2:$B$261="Player"),ROW('Rosters Master'!$A$2:$A$261)-1),3)),"")</f>
      </c>
    </row>
    <row r="10" spans="1:40" ht="13.5" customHeight="1">
      <c r="A10" s="173">
        <f t="shared" si="0"/>
      </c>
      <c r="B10" s="884">
        <f t="shared" si="1"/>
      </c>
      <c r="C10" s="885"/>
      <c r="D10" s="885"/>
      <c r="E10" s="885"/>
      <c r="F10" s="885"/>
      <c r="G10" s="886"/>
      <c r="H10" s="206"/>
      <c r="I10" s="893"/>
      <c r="J10" s="888"/>
      <c r="K10" s="889"/>
      <c r="L10" s="174"/>
      <c r="M10" s="175"/>
      <c r="N10" s="175"/>
      <c r="O10" s="176">
        <f t="shared" si="2"/>
      </c>
      <c r="P10" s="884">
        <f t="shared" si="3"/>
      </c>
      <c r="Q10" s="885"/>
      <c r="R10" s="885"/>
      <c r="S10" s="885"/>
      <c r="T10" s="885"/>
      <c r="U10" s="885"/>
      <c r="V10" s="886"/>
      <c r="W10" s="893"/>
      <c r="X10" s="889"/>
      <c r="Y10" s="174"/>
      <c r="Z10" s="174"/>
      <c r="AA10" s="174"/>
      <c r="AB10" s="175"/>
      <c r="AC10" s="62"/>
      <c r="AD10" s="270" t="s">
        <v>2067</v>
      </c>
      <c r="AE10" s="443">
        <f>IFERROR(INDEX('Games Schedule'!$R$5:$R$31,MATCH($AB$3,'Games Schedule'!$C$5:$C$31,0)),"")</f>
      </c>
      <c r="AF10"/>
      <c r="AG10" s="444" cm="1">
        <f t="array" ref="AG10">IFERROR(INDEX('Rosters Master'!$M$2:$M$261,SMALL(IF(('Rosters Master'!$A$2:$A$261=$AE$3)*('Rosters Master'!$B$2:$B$261="Player"),ROW('Rosters Master'!$A$2:$A$261)-1),4)),"")</f>
      </c>
      <c r="AH10" s="444" cm="1">
        <f t="array" ref="AH10">IFERROR(INDEX('Rosters Master'!$C$2:$C$261,SMALL(IF(('Rosters Master'!$A$2:$A$261=$AE$3)*('Rosters Master'!$B$2:$B$261="Player"),ROW('Rosters Master'!$A$2:$A$261)-1),4)),"")</f>
      </c>
      <c r="AI10" s="444" cm="1">
        <f t="array" ref="AI10">IFERROR(INDEX('Rosters Master'!$D$2:$D$261,SMALL(IF(('Rosters Master'!$A$2:$A$261=$AE$3)*('Rosters Master'!$B$2:$B$261="Player"),ROW('Rosters Master'!$A$2:$A$261)-1),4)),"")</f>
      </c>
      <c r="AJ10" s="444" cm="1">
        <f t="array" ref="AJ10">IFERROR(INDEX('Rosters Master'!$E$2:$E$261,SMALL(IF(('Rosters Master'!$A$2:$A$261=$AE$3)*('Rosters Master'!$B$2:$B$261="Player"),ROW('Rosters Master'!$A$2:$A$261)-1),4)),"")</f>
      </c>
      <c r="AK10" s="444" cm="1">
        <f t="array" ref="AK10">IFERROR(INDEX('Rosters Master'!$M$2:$M$261,SMALL(IF(('Rosters Master'!$A$2:$A$261=$AE$4)*('Rosters Master'!$B$2:$B$261="Player"),ROW('Rosters Master'!$A$2:$A$261)-1),4)),"")</f>
      </c>
      <c r="AL10" s="444" cm="1">
        <f t="array" ref="AL10">IFERROR(INDEX('Rosters Master'!$C$2:$C$261,SMALL(IF(('Rosters Master'!$A$2:$A$261=$AE$4)*('Rosters Master'!$B$2:$B$261="Player"),ROW('Rosters Master'!$A$2:$A$261)-1),4)),"")</f>
      </c>
      <c r="AM10" s="444" cm="1">
        <f t="array" ref="AM10">IFERROR(INDEX('Rosters Master'!$D$2:$D$261,SMALL(IF(('Rosters Master'!$A$2:$A$261=$AE$4)*('Rosters Master'!$B$2:$B$261="Player"),ROW('Rosters Master'!$A$2:$A$261)-1),4)),"")</f>
      </c>
      <c r="AN10" s="444" cm="1">
        <f t="array" ref="AN10">IFERROR(INDEX('Rosters Master'!$E$2:$E$261,SMALL(IF(('Rosters Master'!$A$2:$A$261=$AE$4)*('Rosters Master'!$B$2:$B$261="Player"),ROW('Rosters Master'!$A$2:$A$261)-1),4)),"")</f>
      </c>
    </row>
    <row r="11" spans="1:40" ht="15" customHeight="1">
      <c r="A11" s="177">
        <f t="shared" si="0"/>
      </c>
      <c r="B11" s="895">
        <f t="shared" si="1"/>
      </c>
      <c r="C11" s="896"/>
      <c r="D11" s="896"/>
      <c r="E11" s="896"/>
      <c r="F11" s="896"/>
      <c r="G11" s="897"/>
      <c r="H11" s="207"/>
      <c r="I11" s="898"/>
      <c r="J11" s="899"/>
      <c r="K11" s="900"/>
      <c r="L11" s="181"/>
      <c r="M11" s="179"/>
      <c r="N11" s="179"/>
      <c r="O11" s="180">
        <f t="shared" si="2"/>
      </c>
      <c r="P11" s="895">
        <f t="shared" si="3"/>
      </c>
      <c r="Q11" s="896"/>
      <c r="R11" s="896"/>
      <c r="S11" s="896"/>
      <c r="T11" s="896"/>
      <c r="U11" s="896"/>
      <c r="V11" s="897"/>
      <c r="W11" s="901"/>
      <c r="X11" s="900"/>
      <c r="Y11" s="178"/>
      <c r="Z11" s="178"/>
      <c r="AA11" s="178"/>
      <c r="AB11" s="179"/>
      <c r="AC11" s="62"/>
      <c r="AD11" s="270" t="s">
        <v>2068</v>
      </c>
      <c r="AE11" s="443">
        <f>MIN('Games Schedule'!$B$5:$B$31)</f>
      </c>
      <c r="AF11"/>
      <c r="AG11" s="444" cm="1">
        <f t="array" ref="AG11">IFERROR(INDEX('Rosters Master'!$M$2:$M$261,SMALL(IF(('Rosters Master'!$A$2:$A$261=$AE$3)*('Rosters Master'!$B$2:$B$261="Player"),ROW('Rosters Master'!$A$2:$A$261)-1),5)),"")</f>
      </c>
      <c r="AH11" s="444" cm="1">
        <f t="array" ref="AH11">IFERROR(INDEX('Rosters Master'!$C$2:$C$261,SMALL(IF(('Rosters Master'!$A$2:$A$261=$AE$3)*('Rosters Master'!$B$2:$B$261="Player"),ROW('Rosters Master'!$A$2:$A$261)-1),5)),"")</f>
      </c>
      <c r="AI11" s="444" cm="1">
        <f t="array" ref="AI11">IFERROR(INDEX('Rosters Master'!$D$2:$D$261,SMALL(IF(('Rosters Master'!$A$2:$A$261=$AE$3)*('Rosters Master'!$B$2:$B$261="Player"),ROW('Rosters Master'!$A$2:$A$261)-1),5)),"")</f>
      </c>
      <c r="AJ11" s="444" cm="1">
        <f t="array" ref="AJ11">IFERROR(INDEX('Rosters Master'!$E$2:$E$261,SMALL(IF(('Rosters Master'!$A$2:$A$261=$AE$3)*('Rosters Master'!$B$2:$B$261="Player"),ROW('Rosters Master'!$A$2:$A$261)-1),5)),"")</f>
      </c>
      <c r="AK11" s="444" cm="1">
        <f t="array" ref="AK11">IFERROR(INDEX('Rosters Master'!$M$2:$M$261,SMALL(IF(('Rosters Master'!$A$2:$A$261=$AE$4)*('Rosters Master'!$B$2:$B$261="Player"),ROW('Rosters Master'!$A$2:$A$261)-1),5)),"")</f>
      </c>
      <c r="AL11" s="444" cm="1">
        <f t="array" ref="AL11">IFERROR(INDEX('Rosters Master'!$C$2:$C$261,SMALL(IF(('Rosters Master'!$A$2:$A$261=$AE$4)*('Rosters Master'!$B$2:$B$261="Player"),ROW('Rosters Master'!$A$2:$A$261)-1),5)),"")</f>
      </c>
      <c r="AM11" s="444" cm="1">
        <f t="array" ref="AM11">IFERROR(INDEX('Rosters Master'!$D$2:$D$261,SMALL(IF(('Rosters Master'!$A$2:$A$261=$AE$4)*('Rosters Master'!$B$2:$B$261="Player"),ROW('Rosters Master'!$A$2:$A$261)-1),5)),"")</f>
      </c>
      <c r="AN11" s="444" cm="1">
        <f t="array" ref="AN11">IFERROR(INDEX('Rosters Master'!$E$2:$E$261,SMALL(IF(('Rosters Master'!$A$2:$A$261=$AE$4)*('Rosters Master'!$B$2:$B$261="Player"),ROW('Rosters Master'!$A$2:$A$261)-1),5)),"")</f>
      </c>
    </row>
    <row r="12" spans="1:40" ht="13.5" customHeight="1">
      <c r="A12" s="173">
        <f t="shared" si="0"/>
      </c>
      <c r="B12" s="884">
        <f t="shared" si="1"/>
      </c>
      <c r="C12" s="885"/>
      <c r="D12" s="885"/>
      <c r="E12" s="885"/>
      <c r="F12" s="885"/>
      <c r="G12" s="886"/>
      <c r="H12" s="206"/>
      <c r="I12" s="893"/>
      <c r="J12" s="888"/>
      <c r="K12" s="889"/>
      <c r="L12" s="174"/>
      <c r="M12" s="175"/>
      <c r="N12" s="175"/>
      <c r="O12" s="176">
        <f t="shared" si="2"/>
      </c>
      <c r="P12" s="884">
        <f t="shared" si="3"/>
      </c>
      <c r="Q12" s="885"/>
      <c r="R12" s="885"/>
      <c r="S12" s="885"/>
      <c r="T12" s="885"/>
      <c r="U12" s="885"/>
      <c r="V12" s="886"/>
      <c r="W12" s="894"/>
      <c r="X12" s="889"/>
      <c r="Y12" s="174"/>
      <c r="Z12" s="174"/>
      <c r="AA12" s="174"/>
      <c r="AB12" s="175"/>
      <c r="AC12" s="62"/>
      <c r="AD12" s="270" t="s">
        <v>2069</v>
      </c>
      <c r="AE12" s="443">
        <f>MAX('Games Schedule'!$B$5:$B$31)</f>
      </c>
      <c r="AF12"/>
      <c r="AG12" s="444" cm="1">
        <f t="array" ref="AG12">IFERROR(INDEX('Rosters Master'!$M$2:$M$261,SMALL(IF(('Rosters Master'!$A$2:$A$261=$AE$3)*('Rosters Master'!$B$2:$B$261="Player"),ROW('Rosters Master'!$A$2:$A$261)-1),6)),"")</f>
      </c>
      <c r="AH12" s="444" cm="1">
        <f t="array" ref="AH12">IFERROR(INDEX('Rosters Master'!$C$2:$C$261,SMALL(IF(('Rosters Master'!$A$2:$A$261=$AE$3)*('Rosters Master'!$B$2:$B$261="Player"),ROW('Rosters Master'!$A$2:$A$261)-1),6)),"")</f>
      </c>
      <c r="AI12" s="444" cm="1">
        <f t="array" ref="AI12">IFERROR(INDEX('Rosters Master'!$D$2:$D$261,SMALL(IF(('Rosters Master'!$A$2:$A$261=$AE$3)*('Rosters Master'!$B$2:$B$261="Player"),ROW('Rosters Master'!$A$2:$A$261)-1),6)),"")</f>
      </c>
      <c r="AJ12" s="444" cm="1">
        <f t="array" ref="AJ12">IFERROR(INDEX('Rosters Master'!$E$2:$E$261,SMALL(IF(('Rosters Master'!$A$2:$A$261=$AE$3)*('Rosters Master'!$B$2:$B$261="Player"),ROW('Rosters Master'!$A$2:$A$261)-1),6)),"")</f>
      </c>
      <c r="AK12" s="444" cm="1">
        <f t="array" ref="AK12">IFERROR(INDEX('Rosters Master'!$M$2:$M$261,SMALL(IF(('Rosters Master'!$A$2:$A$261=$AE$4)*('Rosters Master'!$B$2:$B$261="Player"),ROW('Rosters Master'!$A$2:$A$261)-1),6)),"")</f>
      </c>
      <c r="AL12" s="444" cm="1">
        <f t="array" ref="AL12">IFERROR(INDEX('Rosters Master'!$C$2:$C$261,SMALL(IF(('Rosters Master'!$A$2:$A$261=$AE$4)*('Rosters Master'!$B$2:$B$261="Player"),ROW('Rosters Master'!$A$2:$A$261)-1),6)),"")</f>
      </c>
      <c r="AM12" s="444" cm="1">
        <f t="array" ref="AM12">IFERROR(INDEX('Rosters Master'!$D$2:$D$261,SMALL(IF(('Rosters Master'!$A$2:$A$261=$AE$4)*('Rosters Master'!$B$2:$B$261="Player"),ROW('Rosters Master'!$A$2:$A$261)-1),6)),"")</f>
      </c>
      <c r="AN12" s="444" cm="1">
        <f t="array" ref="AN12">IFERROR(INDEX('Rosters Master'!$E$2:$E$261,SMALL(IF(('Rosters Master'!$A$2:$A$261=$AE$4)*('Rosters Master'!$B$2:$B$261="Player"),ROW('Rosters Master'!$A$2:$A$261)-1),6)),"")</f>
      </c>
    </row>
    <row r="13" spans="1:40" ht="15" customHeight="1">
      <c r="A13" s="177">
        <f t="shared" si="0"/>
      </c>
      <c r="B13" s="895">
        <f t="shared" si="1"/>
      </c>
      <c r="C13" s="896"/>
      <c r="D13" s="896"/>
      <c r="E13" s="896"/>
      <c r="F13" s="896"/>
      <c r="G13" s="897"/>
      <c r="H13" s="207"/>
      <c r="I13" s="898"/>
      <c r="J13" s="899"/>
      <c r="K13" s="900"/>
      <c r="L13" s="178"/>
      <c r="M13" s="179"/>
      <c r="N13" s="179"/>
      <c r="O13" s="180">
        <f t="shared" si="2"/>
      </c>
      <c r="P13" s="895">
        <f t="shared" si="3"/>
      </c>
      <c r="Q13" s="896"/>
      <c r="R13" s="896"/>
      <c r="S13" s="896"/>
      <c r="T13" s="896"/>
      <c r="U13" s="896"/>
      <c r="V13" s="897"/>
      <c r="W13" s="898"/>
      <c r="X13" s="900"/>
      <c r="Y13" s="178"/>
      <c r="Z13" s="178"/>
      <c r="AA13" s="178"/>
      <c r="AB13" s="179"/>
      <c r="AC13" s="62"/>
      <c r="AD13" s="270" t="s">
        <v>2070</v>
      </c>
      <c r="AE13" s="443">
        <f>TEXT(AE11,"mmmm d")&amp;" to "&amp;IF(MONTH(AE11)=MONTH(AE12),TEXT(AE12,"d"),TEXT(AE12,"mmmm d"))&amp;", "&amp;TEXT(AE12,"yyyy")</f>
      </c>
      <c r="AF13"/>
      <c r="AG13" s="444" cm="1">
        <f t="array" ref="AG13">IFERROR(INDEX('Rosters Master'!$M$2:$M$261,SMALL(IF(('Rosters Master'!$A$2:$A$261=$AE$3)*('Rosters Master'!$B$2:$B$261="Player"),ROW('Rosters Master'!$A$2:$A$261)-1),7)),"")</f>
      </c>
      <c r="AH13" s="444" cm="1">
        <f t="array" ref="AH13">IFERROR(INDEX('Rosters Master'!$C$2:$C$261,SMALL(IF(('Rosters Master'!$A$2:$A$261=$AE$3)*('Rosters Master'!$B$2:$B$261="Player"),ROW('Rosters Master'!$A$2:$A$261)-1),7)),"")</f>
      </c>
      <c r="AI13" s="444" cm="1">
        <f t="array" ref="AI13">IFERROR(INDEX('Rosters Master'!$D$2:$D$261,SMALL(IF(('Rosters Master'!$A$2:$A$261=$AE$3)*('Rosters Master'!$B$2:$B$261="Player"),ROW('Rosters Master'!$A$2:$A$261)-1),7)),"")</f>
      </c>
      <c r="AJ13" s="444" cm="1">
        <f t="array" ref="AJ13">IFERROR(INDEX('Rosters Master'!$E$2:$E$261,SMALL(IF(('Rosters Master'!$A$2:$A$261=$AE$3)*('Rosters Master'!$B$2:$B$261="Player"),ROW('Rosters Master'!$A$2:$A$261)-1),7)),"")</f>
      </c>
      <c r="AK13" s="444" cm="1">
        <f t="array" ref="AK13">IFERROR(INDEX('Rosters Master'!$M$2:$M$261,SMALL(IF(('Rosters Master'!$A$2:$A$261=$AE$4)*('Rosters Master'!$B$2:$B$261="Player"),ROW('Rosters Master'!$A$2:$A$261)-1),7)),"")</f>
      </c>
      <c r="AL13" s="444" cm="1">
        <f t="array" ref="AL13">IFERROR(INDEX('Rosters Master'!$C$2:$C$261,SMALL(IF(('Rosters Master'!$A$2:$A$261=$AE$4)*('Rosters Master'!$B$2:$B$261="Player"),ROW('Rosters Master'!$A$2:$A$261)-1),7)),"")</f>
      </c>
      <c r="AM13" s="444" cm="1">
        <f t="array" ref="AM13">IFERROR(INDEX('Rosters Master'!$D$2:$D$261,SMALL(IF(('Rosters Master'!$A$2:$A$261=$AE$4)*('Rosters Master'!$B$2:$B$261="Player"),ROW('Rosters Master'!$A$2:$A$261)-1),7)),"")</f>
      </c>
      <c r="AN13" s="444" cm="1">
        <f t="array" ref="AN13">IFERROR(INDEX('Rosters Master'!$E$2:$E$261,SMALL(IF(('Rosters Master'!$A$2:$A$261=$AE$4)*('Rosters Master'!$B$2:$B$261="Player"),ROW('Rosters Master'!$A$2:$A$261)-1),7)),"")</f>
      </c>
    </row>
    <row r="14" spans="1:40" ht="13.5" customHeight="1">
      <c r="A14" s="173">
        <f t="shared" si="0"/>
      </c>
      <c r="B14" s="884">
        <f t="shared" si="1"/>
      </c>
      <c r="C14" s="885"/>
      <c r="D14" s="885"/>
      <c r="E14" s="885"/>
      <c r="F14" s="885"/>
      <c r="G14" s="886"/>
      <c r="H14" s="206"/>
      <c r="I14" s="893"/>
      <c r="J14" s="888"/>
      <c r="K14" s="889"/>
      <c r="L14" s="174"/>
      <c r="M14" s="175"/>
      <c r="N14" s="175"/>
      <c r="O14" s="176">
        <f t="shared" si="2"/>
      </c>
      <c r="P14" s="884">
        <f t="shared" si="3"/>
      </c>
      <c r="Q14" s="885"/>
      <c r="R14" s="885"/>
      <c r="S14" s="885"/>
      <c r="T14" s="885"/>
      <c r="U14" s="885"/>
      <c r="V14" s="886"/>
      <c r="W14" s="893"/>
      <c r="X14" s="889"/>
      <c r="Y14" s="174"/>
      <c r="Z14" s="174"/>
      <c r="AA14" s="174"/>
      <c r="AB14" s="175"/>
      <c r="AC14" s="62"/>
      <c r="AD14" s="270" t="s">
        <v>2071</v>
      </c>
      <c r="AE14" s="443">
        <f>"Bay Classic "&amp;TEXT(AE12,"yyyy")&amp;CHAR(10)&amp;AE13&amp;CHAR(10)&amp;"Northside Community Gym"&amp;CHAR(10)&amp;"100 Example Ave, Springfield, CA 90000"</f>
      </c>
      <c r="AF14"/>
      <c r="AG14" s="444" cm="1">
        <f t="array" ref="AG14">IFERROR(INDEX('Rosters Master'!$M$2:$M$261,SMALL(IF(('Rosters Master'!$A$2:$A$261=$AE$3)*('Rosters Master'!$B$2:$B$261="Player"),ROW('Rosters Master'!$A$2:$A$261)-1),8)),"")</f>
      </c>
      <c r="AH14" s="444" cm="1">
        <f t="array" ref="AH14">IFERROR(INDEX('Rosters Master'!$C$2:$C$261,SMALL(IF(('Rosters Master'!$A$2:$A$261=$AE$3)*('Rosters Master'!$B$2:$B$261="Player"),ROW('Rosters Master'!$A$2:$A$261)-1),8)),"")</f>
      </c>
      <c r="AI14" s="444" cm="1">
        <f t="array" ref="AI14">IFERROR(INDEX('Rosters Master'!$D$2:$D$261,SMALL(IF(('Rosters Master'!$A$2:$A$261=$AE$3)*('Rosters Master'!$B$2:$B$261="Player"),ROW('Rosters Master'!$A$2:$A$261)-1),8)),"")</f>
      </c>
      <c r="AJ14" s="444" cm="1">
        <f t="array" ref="AJ14">IFERROR(INDEX('Rosters Master'!$E$2:$E$261,SMALL(IF(('Rosters Master'!$A$2:$A$261=$AE$3)*('Rosters Master'!$B$2:$B$261="Player"),ROW('Rosters Master'!$A$2:$A$261)-1),8)),"")</f>
      </c>
      <c r="AK14" s="444" cm="1">
        <f t="array" ref="AK14">IFERROR(INDEX('Rosters Master'!$M$2:$M$261,SMALL(IF(('Rosters Master'!$A$2:$A$261=$AE$4)*('Rosters Master'!$B$2:$B$261="Player"),ROW('Rosters Master'!$A$2:$A$261)-1),8)),"")</f>
      </c>
      <c r="AL14" s="444" cm="1">
        <f t="array" ref="AL14">IFERROR(INDEX('Rosters Master'!$C$2:$C$261,SMALL(IF(('Rosters Master'!$A$2:$A$261=$AE$4)*('Rosters Master'!$B$2:$B$261="Player"),ROW('Rosters Master'!$A$2:$A$261)-1),8)),"")</f>
      </c>
      <c r="AM14" s="444" cm="1">
        <f t="array" ref="AM14">IFERROR(INDEX('Rosters Master'!$D$2:$D$261,SMALL(IF(('Rosters Master'!$A$2:$A$261=$AE$4)*('Rosters Master'!$B$2:$B$261="Player"),ROW('Rosters Master'!$A$2:$A$261)-1),8)),"")</f>
      </c>
      <c r="AN14" s="444" cm="1">
        <f t="array" ref="AN14">IFERROR(INDEX('Rosters Master'!$E$2:$E$261,SMALL(IF(('Rosters Master'!$A$2:$A$261=$AE$4)*('Rosters Master'!$B$2:$B$261="Player"),ROW('Rosters Master'!$A$2:$A$261)-1),8)),"")</f>
      </c>
    </row>
    <row r="15" spans="1:40" ht="15" customHeight="1">
      <c r="A15" s="177">
        <f t="shared" si="0"/>
      </c>
      <c r="B15" s="895">
        <f t="shared" si="1"/>
      </c>
      <c r="C15" s="896"/>
      <c r="D15" s="896"/>
      <c r="E15" s="896"/>
      <c r="F15" s="896"/>
      <c r="G15" s="897"/>
      <c r="H15" s="207"/>
      <c r="I15" s="898"/>
      <c r="J15" s="899"/>
      <c r="K15" s="900"/>
      <c r="L15" s="178"/>
      <c r="M15" s="179"/>
      <c r="N15" s="179"/>
      <c r="O15" s="180">
        <f t="shared" si="2"/>
      </c>
      <c r="P15" s="895">
        <f t="shared" si="3"/>
      </c>
      <c r="Q15" s="896"/>
      <c r="R15" s="896"/>
      <c r="S15" s="896"/>
      <c r="T15" s="896"/>
      <c r="U15" s="896"/>
      <c r="V15" s="897"/>
      <c r="W15" s="901"/>
      <c r="X15" s="900"/>
      <c r="Y15" s="178"/>
      <c r="Z15" s="178"/>
      <c r="AA15" s="178"/>
      <c r="AB15" s="179"/>
      <c r="AC15" s="62"/>
      <c r="AD15" s="676" t="s">
        <v>2072</v>
      </c>
      <c r="AE15" s="677">
        <f>IFERROR(INDEX('Games Schedule'!$B$5:$B$31,MATCH($AB$3,'Games Schedule'!$C$5:$C$31,0)),"")</f>
      </c>
      <c r="AF15"/>
      <c r="AG15" s="444" cm="1">
        <f t="array" ref="AG15">IFERROR(INDEX('Rosters Master'!$M$2:$M$261,SMALL(IF(('Rosters Master'!$A$2:$A$261=$AE$3)*('Rosters Master'!$B$2:$B$261="Player"),ROW('Rosters Master'!$A$2:$A$261)-1),9)),"")</f>
      </c>
      <c r="AH15" s="444" cm="1">
        <f t="array" ref="AH15">IFERROR(INDEX('Rosters Master'!$C$2:$C$261,SMALL(IF(('Rosters Master'!$A$2:$A$261=$AE$3)*('Rosters Master'!$B$2:$B$261="Player"),ROW('Rosters Master'!$A$2:$A$261)-1),9)),"")</f>
      </c>
      <c r="AI15" s="444" cm="1">
        <f t="array" ref="AI15">IFERROR(INDEX('Rosters Master'!$D$2:$D$261,SMALL(IF(('Rosters Master'!$A$2:$A$261=$AE$3)*('Rosters Master'!$B$2:$B$261="Player"),ROW('Rosters Master'!$A$2:$A$261)-1),9)),"")</f>
      </c>
      <c r="AJ15" s="444" cm="1">
        <f t="array" ref="AJ15">IFERROR(INDEX('Rosters Master'!$E$2:$E$261,SMALL(IF(('Rosters Master'!$A$2:$A$261=$AE$3)*('Rosters Master'!$B$2:$B$261="Player"),ROW('Rosters Master'!$A$2:$A$261)-1),9)),"")</f>
      </c>
      <c r="AK15" s="444" cm="1">
        <f t="array" ref="AK15">IFERROR(INDEX('Rosters Master'!$M$2:$M$261,SMALL(IF(('Rosters Master'!$A$2:$A$261=$AE$4)*('Rosters Master'!$B$2:$B$261="Player"),ROW('Rosters Master'!$A$2:$A$261)-1),9)),"")</f>
      </c>
      <c r="AL15" s="444" cm="1">
        <f t="array" ref="AL15">IFERROR(INDEX('Rosters Master'!$C$2:$C$261,SMALL(IF(('Rosters Master'!$A$2:$A$261=$AE$4)*('Rosters Master'!$B$2:$B$261="Player"),ROW('Rosters Master'!$A$2:$A$261)-1),9)),"")</f>
      </c>
      <c r="AM15" s="444" cm="1">
        <f t="array" ref="AM15">IFERROR(INDEX('Rosters Master'!$D$2:$D$261,SMALL(IF(('Rosters Master'!$A$2:$A$261=$AE$4)*('Rosters Master'!$B$2:$B$261="Player"),ROW('Rosters Master'!$A$2:$A$261)-1),9)),"")</f>
      </c>
      <c r="AN15" s="444" cm="1">
        <f t="array" ref="AN15">IFERROR(INDEX('Rosters Master'!$E$2:$E$261,SMALL(IF(('Rosters Master'!$A$2:$A$261=$AE$4)*('Rosters Master'!$B$2:$B$261="Player"),ROW('Rosters Master'!$A$2:$A$261)-1),9)),"")</f>
      </c>
    </row>
    <row r="16" spans="1:40" ht="13.5" customHeight="1">
      <c r="A16" s="173">
        <f t="shared" si="0"/>
      </c>
      <c r="B16" s="884">
        <f t="shared" si="1"/>
      </c>
      <c r="C16" s="885"/>
      <c r="D16" s="885"/>
      <c r="E16" s="885"/>
      <c r="F16" s="885"/>
      <c r="G16" s="886"/>
      <c r="H16" s="206"/>
      <c r="I16" s="893"/>
      <c r="J16" s="888"/>
      <c r="K16" s="889"/>
      <c r="L16" s="174"/>
      <c r="M16" s="182"/>
      <c r="N16" s="175"/>
      <c r="O16" s="176">
        <f t="shared" si="2"/>
      </c>
      <c r="P16" s="884">
        <f t="shared" si="3"/>
      </c>
      <c r="Q16" s="885"/>
      <c r="R16" s="885"/>
      <c r="S16" s="885"/>
      <c r="T16" s="885"/>
      <c r="U16" s="885"/>
      <c r="V16" s="886"/>
      <c r="W16" s="893"/>
      <c r="X16" s="889"/>
      <c r="Y16" s="174"/>
      <c r="Z16" s="174"/>
      <c r="AA16" s="174"/>
      <c r="AB16" s="175"/>
      <c r="AC16" s="62"/>
      <c r="AD16" s="676" t="s">
        <v>2073</v>
      </c>
      <c r="AE16" s="678">
        <f>IFERROR(INDEX('Games Schedule'!$D$5:$D$31,MATCH($AB$3,'Games Schedule'!$C$5:$C$31,0)),"")</f>
      </c>
      <c r="AF16"/>
      <c r="AG16" s="444" cm="1">
        <f t="array" ref="AG16">IFERROR(INDEX('Rosters Master'!$M$2:$M$261,SMALL(IF(('Rosters Master'!$A$2:$A$261=$AE$3)*('Rosters Master'!$B$2:$B$261="Player"),ROW('Rosters Master'!$A$2:$A$261)-1),10)),"")</f>
      </c>
      <c r="AH16" s="444" cm="1">
        <f t="array" ref="AH16">IFERROR(INDEX('Rosters Master'!$C$2:$C$261,SMALL(IF(('Rosters Master'!$A$2:$A$261=$AE$3)*('Rosters Master'!$B$2:$B$261="Player"),ROW('Rosters Master'!$A$2:$A$261)-1),10)),"")</f>
      </c>
      <c r="AI16" s="444" cm="1">
        <f t="array" ref="AI16">IFERROR(INDEX('Rosters Master'!$D$2:$D$261,SMALL(IF(('Rosters Master'!$A$2:$A$261=$AE$3)*('Rosters Master'!$B$2:$B$261="Player"),ROW('Rosters Master'!$A$2:$A$261)-1),10)),"")</f>
      </c>
      <c r="AJ16" s="444" cm="1">
        <f t="array" ref="AJ16">IFERROR(INDEX('Rosters Master'!$E$2:$E$261,SMALL(IF(('Rosters Master'!$A$2:$A$261=$AE$3)*('Rosters Master'!$B$2:$B$261="Player"),ROW('Rosters Master'!$A$2:$A$261)-1),10)),"")</f>
      </c>
      <c r="AK16" s="444" cm="1">
        <f t="array" ref="AK16">IFERROR(INDEX('Rosters Master'!$M$2:$M$261,SMALL(IF(('Rosters Master'!$A$2:$A$261=$AE$4)*('Rosters Master'!$B$2:$B$261="Player"),ROW('Rosters Master'!$A$2:$A$261)-1),10)),"")</f>
      </c>
      <c r="AL16" s="444" cm="1">
        <f t="array" ref="AL16">IFERROR(INDEX('Rosters Master'!$C$2:$C$261,SMALL(IF(('Rosters Master'!$A$2:$A$261=$AE$4)*('Rosters Master'!$B$2:$B$261="Player"),ROW('Rosters Master'!$A$2:$A$261)-1),10)),"")</f>
      </c>
      <c r="AM16" s="444" cm="1">
        <f t="array" ref="AM16">IFERROR(INDEX('Rosters Master'!$D$2:$D$261,SMALL(IF(('Rosters Master'!$A$2:$A$261=$AE$4)*('Rosters Master'!$B$2:$B$261="Player"),ROW('Rosters Master'!$A$2:$A$261)-1),10)),"")</f>
      </c>
      <c r="AN16" s="444" cm="1">
        <f t="array" ref="AN16">IFERROR(INDEX('Rosters Master'!$E$2:$E$261,SMALL(IF(('Rosters Master'!$A$2:$A$261=$AE$4)*('Rosters Master'!$B$2:$B$261="Player"),ROW('Rosters Master'!$A$2:$A$261)-1),10)),"")</f>
      </c>
    </row>
    <row r="17" spans="1:40" ht="15" customHeight="1">
      <c r="A17" s="177">
        <f t="shared" si="0"/>
      </c>
      <c r="B17" s="895">
        <f t="shared" si="1"/>
      </c>
      <c r="C17" s="896"/>
      <c r="D17" s="896"/>
      <c r="E17" s="896"/>
      <c r="F17" s="896"/>
      <c r="G17" s="897"/>
      <c r="H17" s="207"/>
      <c r="I17" s="898"/>
      <c r="J17" s="899"/>
      <c r="K17" s="900"/>
      <c r="L17" s="178"/>
      <c r="M17" s="179"/>
      <c r="N17" s="179"/>
      <c r="O17" s="180">
        <f t="shared" si="2"/>
      </c>
      <c r="P17" s="895">
        <f t="shared" si="3"/>
      </c>
      <c r="Q17" s="896"/>
      <c r="R17" s="896"/>
      <c r="S17" s="896"/>
      <c r="T17" s="896"/>
      <c r="U17" s="896"/>
      <c r="V17" s="897"/>
      <c r="W17" s="898"/>
      <c r="X17" s="900"/>
      <c r="Y17" s="178"/>
      <c r="Z17" s="178"/>
      <c r="AA17" s="178"/>
      <c r="AB17" s="179"/>
      <c r="AC17" s="62"/>
      <c r="AD17"/>
      <c r="AE17"/>
      <c r="AF17"/>
      <c r="AG17" s="444" cm="1">
        <f t="array" ref="AG17">IFERROR(INDEX('Rosters Master'!$M$2:$M$261,SMALL(IF(('Rosters Master'!$A$2:$A$261=$AE$3)*('Rosters Master'!$B$2:$B$261="Player"),ROW('Rosters Master'!$A$2:$A$261)-1),11)),"")</f>
      </c>
      <c r="AH17" s="444" cm="1">
        <f t="array" ref="AH17">IFERROR(INDEX('Rosters Master'!$C$2:$C$261,SMALL(IF(('Rosters Master'!$A$2:$A$261=$AE$3)*('Rosters Master'!$B$2:$B$261="Player"),ROW('Rosters Master'!$A$2:$A$261)-1),11)),"")</f>
      </c>
      <c r="AI17" s="444" cm="1">
        <f t="array" ref="AI17">IFERROR(INDEX('Rosters Master'!$D$2:$D$261,SMALL(IF(('Rosters Master'!$A$2:$A$261=$AE$3)*('Rosters Master'!$B$2:$B$261="Player"),ROW('Rosters Master'!$A$2:$A$261)-1),11)),"")</f>
      </c>
      <c r="AJ17" s="444" cm="1">
        <f t="array" ref="AJ17">IFERROR(INDEX('Rosters Master'!$E$2:$E$261,SMALL(IF(('Rosters Master'!$A$2:$A$261=$AE$3)*('Rosters Master'!$B$2:$B$261="Player"),ROW('Rosters Master'!$A$2:$A$261)-1),11)),"")</f>
      </c>
      <c r="AK17" s="444" cm="1">
        <f t="array" ref="AK17">IFERROR(INDEX('Rosters Master'!$M$2:$M$261,SMALL(IF(('Rosters Master'!$A$2:$A$261=$AE$4)*('Rosters Master'!$B$2:$B$261="Player"),ROW('Rosters Master'!$A$2:$A$261)-1),11)),"")</f>
      </c>
      <c r="AL17" s="444" cm="1">
        <f t="array" ref="AL17">IFERROR(INDEX('Rosters Master'!$C$2:$C$261,SMALL(IF(('Rosters Master'!$A$2:$A$261=$AE$4)*('Rosters Master'!$B$2:$B$261="Player"),ROW('Rosters Master'!$A$2:$A$261)-1),11)),"")</f>
      </c>
      <c r="AM17" s="444" cm="1">
        <f t="array" ref="AM17">IFERROR(INDEX('Rosters Master'!$D$2:$D$261,SMALL(IF(('Rosters Master'!$A$2:$A$261=$AE$4)*('Rosters Master'!$B$2:$B$261="Player"),ROW('Rosters Master'!$A$2:$A$261)-1),11)),"")</f>
      </c>
      <c r="AN17" s="444" cm="1">
        <f t="array" ref="AN17">IFERROR(INDEX('Rosters Master'!$E$2:$E$261,SMALL(IF(('Rosters Master'!$A$2:$A$261=$AE$4)*('Rosters Master'!$B$2:$B$261="Player"),ROW('Rosters Master'!$A$2:$A$261)-1),11)),"")</f>
      </c>
    </row>
    <row r="18" spans="1:40" ht="13.5" customHeight="1">
      <c r="A18" s="173">
        <f t="shared" si="0"/>
      </c>
      <c r="B18" s="884">
        <f t="shared" si="1"/>
      </c>
      <c r="C18" s="885"/>
      <c r="D18" s="885"/>
      <c r="E18" s="885"/>
      <c r="F18" s="885"/>
      <c r="G18" s="886"/>
      <c r="H18" s="206"/>
      <c r="I18" s="894"/>
      <c r="J18" s="888"/>
      <c r="K18" s="889"/>
      <c r="L18" s="183"/>
      <c r="M18" s="175"/>
      <c r="N18" s="175"/>
      <c r="O18" s="176">
        <f t="shared" si="2"/>
      </c>
      <c r="P18" s="884">
        <f t="shared" si="3"/>
      </c>
      <c r="Q18" s="885"/>
      <c r="R18" s="885"/>
      <c r="S18" s="885"/>
      <c r="T18" s="885"/>
      <c r="U18" s="885"/>
      <c r="V18" s="886"/>
      <c r="W18" s="894"/>
      <c r="X18" s="889"/>
      <c r="Y18" s="174"/>
      <c r="Z18" s="174"/>
      <c r="AA18" s="174"/>
      <c r="AB18" s="175"/>
      <c r="AC18" s="62"/>
      <c r="AD18"/>
      <c r="AE18"/>
      <c r="AF18"/>
      <c r="AG18" s="444" cm="1">
        <f t="array" ref="AG18">IFERROR(INDEX('Rosters Master'!$M$2:$M$261,SMALL(IF(('Rosters Master'!$A$2:$A$261=$AE$3)*('Rosters Master'!$B$2:$B$261="Player"),ROW('Rosters Master'!$A$2:$A$261)-1),12)),"")</f>
      </c>
      <c r="AH18" s="444" cm="1">
        <f t="array" ref="AH18">IFERROR(INDEX('Rosters Master'!$C$2:$C$261,SMALL(IF(('Rosters Master'!$A$2:$A$261=$AE$3)*('Rosters Master'!$B$2:$B$261="Player"),ROW('Rosters Master'!$A$2:$A$261)-1),12)),"")</f>
      </c>
      <c r="AI18" s="444" cm="1">
        <f t="array" ref="AI18">IFERROR(INDEX('Rosters Master'!$D$2:$D$261,SMALL(IF(('Rosters Master'!$A$2:$A$261=$AE$3)*('Rosters Master'!$B$2:$B$261="Player"),ROW('Rosters Master'!$A$2:$A$261)-1),12)),"")</f>
      </c>
      <c r="AJ18" s="444" cm="1">
        <f t="array" ref="AJ18">IFERROR(INDEX('Rosters Master'!$E$2:$E$261,SMALL(IF(('Rosters Master'!$A$2:$A$261=$AE$3)*('Rosters Master'!$B$2:$B$261="Player"),ROW('Rosters Master'!$A$2:$A$261)-1),12)),"")</f>
      </c>
      <c r="AK18" s="444" cm="1">
        <f t="array" ref="AK18">IFERROR(INDEX('Rosters Master'!$M$2:$M$261,SMALL(IF(('Rosters Master'!$A$2:$A$261=$AE$4)*('Rosters Master'!$B$2:$B$261="Player"),ROW('Rosters Master'!$A$2:$A$261)-1),12)),"")</f>
      </c>
      <c r="AL18" s="444" cm="1">
        <f t="array" ref="AL18">IFERROR(INDEX('Rosters Master'!$C$2:$C$261,SMALL(IF(('Rosters Master'!$A$2:$A$261=$AE$4)*('Rosters Master'!$B$2:$B$261="Player"),ROW('Rosters Master'!$A$2:$A$261)-1),12)),"")</f>
      </c>
      <c r="AM18" s="444" cm="1">
        <f t="array" ref="AM18">IFERROR(INDEX('Rosters Master'!$D$2:$D$261,SMALL(IF(('Rosters Master'!$A$2:$A$261=$AE$4)*('Rosters Master'!$B$2:$B$261="Player"),ROW('Rosters Master'!$A$2:$A$261)-1),12)),"")</f>
      </c>
      <c r="AN18" s="444" cm="1">
        <f t="array" ref="AN18">IFERROR(INDEX('Rosters Master'!$E$2:$E$261,SMALL(IF(('Rosters Master'!$A$2:$A$261=$AE$4)*('Rosters Master'!$B$2:$B$261="Player"),ROW('Rosters Master'!$A$2:$A$261)-1),12)),"")</f>
      </c>
    </row>
    <row r="19" spans="1:40" ht="13.5" customHeight="1">
      <c r="A19" s="177">
        <f t="shared" si="0"/>
      </c>
      <c r="B19" s="895">
        <f t="shared" si="1"/>
      </c>
      <c r="C19" s="896"/>
      <c r="D19" s="896"/>
      <c r="E19" s="896"/>
      <c r="F19" s="896"/>
      <c r="G19" s="897"/>
      <c r="H19" s="207"/>
      <c r="I19" s="901"/>
      <c r="J19" s="899"/>
      <c r="K19" s="900"/>
      <c r="L19" s="181"/>
      <c r="M19" s="179"/>
      <c r="N19" s="179"/>
      <c r="O19" s="180">
        <f t="shared" si="2"/>
      </c>
      <c r="P19" s="895">
        <f t="shared" si="3"/>
      </c>
      <c r="Q19" s="896"/>
      <c r="R19" s="896"/>
      <c r="S19" s="896"/>
      <c r="T19" s="896"/>
      <c r="U19" s="896"/>
      <c r="V19" s="897"/>
      <c r="W19" s="901"/>
      <c r="X19" s="900"/>
      <c r="Y19" s="181"/>
      <c r="Z19" s="178"/>
      <c r="AA19" s="178"/>
      <c r="AB19" s="179"/>
      <c r="AC19" s="62"/>
      <c r="AD19"/>
      <c r="AE19"/>
      <c r="AF19"/>
      <c r="AG19" s="258" cm="1">
        <f t="array" ref="AG19">IFERROR(INDEX('Rosters Master'!$M$2:$M$261,SMALL(IF(('Rosters Master'!$A$2:$A$261=$AE$3)*('Rosters Master'!$B$2:$B$261="Player"),ROW('Rosters Master'!$A$2:$A$261)-1),13)),"")</f>
      </c>
      <c r="AH19" s="258" cm="1">
        <f t="array" ref="AH19">IFERROR(INDEX('Rosters Master'!$C$2:$C$261,SMALL(IF(('Rosters Master'!$A$2:$A$261=$AE$3)*('Rosters Master'!$B$2:$B$261="Player"),ROW('Rosters Master'!$A$2:$A$261)-1),13)),"")</f>
      </c>
      <c r="AI19" s="258" cm="1">
        <f t="array" ref="AI19">IFERROR(INDEX('Rosters Master'!$D$2:$D$261,SMALL(IF(('Rosters Master'!$A$2:$A$261=$AE$3)*('Rosters Master'!$B$2:$B$261="Player"),ROW('Rosters Master'!$A$2:$A$261)-1),13)),"")</f>
      </c>
      <c r="AJ19" s="258" cm="1">
        <f t="array" ref="AJ19">IFERROR(INDEX('Rosters Master'!$E$2:$E$261,SMALL(IF(('Rosters Master'!$A$2:$A$261=$AE$3)*('Rosters Master'!$B$2:$B$261="Player"),ROW('Rosters Master'!$A$2:$A$261)-1),13)),"")</f>
      </c>
      <c r="AK19" s="258" cm="1">
        <f t="array" ref="AK19">IFERROR(INDEX('Rosters Master'!$M$2:$M$261,SMALL(IF(('Rosters Master'!$A$2:$A$261=$AE$4)*('Rosters Master'!$B$2:$B$261="Player"),ROW('Rosters Master'!$A$2:$A$261)-1),13)),"")</f>
      </c>
      <c r="AL19" s="258" cm="1">
        <f t="array" ref="AL19">IFERROR(INDEX('Rosters Master'!$C$2:$C$261,SMALL(IF(('Rosters Master'!$A$2:$A$261=$AE$4)*('Rosters Master'!$B$2:$B$261="Player"),ROW('Rosters Master'!$A$2:$A$261)-1),13)),"")</f>
      </c>
      <c r="AM19" s="258" cm="1">
        <f t="array" ref="AM19">IFERROR(INDEX('Rosters Master'!$D$2:$D$261,SMALL(IF(('Rosters Master'!$A$2:$A$261=$AE$4)*('Rosters Master'!$B$2:$B$261="Player"),ROW('Rosters Master'!$A$2:$A$261)-1),13)),"")</f>
      </c>
      <c r="AN19" s="258" cm="1">
        <f t="array" ref="AN19">IFERROR(INDEX('Rosters Master'!$E$2:$E$261,SMALL(IF(('Rosters Master'!$A$2:$A$261=$AE$4)*('Rosters Master'!$B$2:$B$261="Player"),ROW('Rosters Master'!$A$2:$A$261)-1),13)),"")</f>
      </c>
    </row>
    <row r="20" spans="1:40" ht="15" customHeight="1">
      <c r="A20" s="173">
        <f t="shared" si="0"/>
      </c>
      <c r="B20" s="884">
        <f t="shared" si="1"/>
      </c>
      <c r="C20" s="885"/>
      <c r="D20" s="885"/>
      <c r="E20" s="885"/>
      <c r="F20" s="885"/>
      <c r="G20" s="886"/>
      <c r="H20" s="206"/>
      <c r="I20" s="893"/>
      <c r="J20" s="888"/>
      <c r="K20" s="889"/>
      <c r="L20" s="174"/>
      <c r="M20" s="175"/>
      <c r="N20" s="175"/>
      <c r="O20" s="176">
        <f t="shared" si="2"/>
      </c>
      <c r="P20" s="884">
        <f t="shared" si="3"/>
      </c>
      <c r="Q20" s="885"/>
      <c r="R20" s="885"/>
      <c r="S20" s="885"/>
      <c r="T20" s="885"/>
      <c r="U20" s="885"/>
      <c r="V20" s="886"/>
      <c r="W20" s="894"/>
      <c r="X20" s="889"/>
      <c r="Y20" s="174"/>
      <c r="Z20" s="174"/>
      <c r="AA20" s="174"/>
      <c r="AB20" s="175"/>
      <c r="AC20" s="62"/>
      <c r="AD20"/>
      <c r="AE20"/>
      <c r="AF20" s="268"/>
      <c r="AG20" s="289" t="s">
        <v>2074</v>
      </c>
      <c r="AH20" s="289"/>
      <c r="AI20" s="289"/>
      <c r="AJ20" s="289"/>
      <c r="AK20" s="289" t="s">
        <v>2075</v>
      </c>
      <c r="AL20" s="289"/>
      <c r="AM20" s="290"/>
      <c r="AN20" s="290"/>
    </row>
    <row r="21" spans="1:40" ht="15" customHeight="1">
      <c r="A21" s="177">
        <f t="array" ref="A21">IFERROR(IF(INDEX('Rosters Master'!$C$2:$C$261,SMALL(IF(('Rosters Master'!$A$2:$A$261=$AE$3)*('Rosters Master'!$B$2:$B$261="Player"),ROW('Rosters Master'!$A$2:$A$261)-1),14))="","",INDEX('Rosters Master'!$C$2:$C$261,SMALL(IF(('Rosters Master'!$A$2:$A$261=$AE$3)*('Rosters Master'!$B$2:$B$261="Player"),ROW('Rosters Master'!$A$2:$A$261)-1),14))),"")</f>
      </c>
      <c r="B21" s="895">
        <f t="array" ref="B21">IFERROR(IF(INDEX('Rosters Master'!$M$2:$M$261,SMALL(IF(('Rosters Master'!$A$2:$A$261=$AE$3)*('Rosters Master'!$B$2:$B$261="Player"),ROW('Rosters Master'!$A$2:$A$261)-1),14))="","",INDEX('Rosters Master'!$M$2:$M$261,SMALL(IF(('Rosters Master'!$A$2:$A$261=$AE$3)*('Rosters Master'!$B$2:$B$261="Player"),ROW('Rosters Master'!$A$2:$A$261)-1),14))),"")</f>
      </c>
      <c r="C21" s="896"/>
      <c r="D21" s="896"/>
      <c r="E21" s="896"/>
      <c r="F21" s="896"/>
      <c r="G21" s="897"/>
      <c r="H21" s="207"/>
      <c r="I21" s="898"/>
      <c r="J21" s="899"/>
      <c r="K21" s="900"/>
      <c r="L21" s="178"/>
      <c r="M21" s="179"/>
      <c r="N21" s="179"/>
      <c r="O21" s="180">
        <f t="array" ref="O21">IFERROR(IF(INDEX('Rosters Master'!$C$2:$C$261,SMALL(IF(('Rosters Master'!$A$2:$A$261=$AE$4)*('Rosters Master'!$B$2:$B$261="Player"),ROW('Rosters Master'!$A$2:$A$261)-1),14))="","",INDEX('Rosters Master'!$C$2:$C$261,SMALL(IF(('Rosters Master'!$A$2:$A$261=$AE$4)*('Rosters Master'!$B$2:$B$261="Player"),ROW('Rosters Master'!$A$2:$A$261)-1),14))),"")</f>
      </c>
      <c r="P21" s="895">
        <f t="array" ref="P21">IFERROR(IF(INDEX('Rosters Master'!$M$2:$M$261,SMALL(IF(('Rosters Master'!$A$2:$A$261=$AE$4)*('Rosters Master'!$B$2:$B$261="Player"),ROW('Rosters Master'!$A$2:$A$261)-1),14))="","",INDEX('Rosters Master'!$M$2:$M$261,SMALL(IF(('Rosters Master'!$A$2:$A$261=$AE$4)*('Rosters Master'!$B$2:$B$261="Player"),ROW('Rosters Master'!$A$2:$A$261)-1),14))),"")</f>
      </c>
      <c r="Q21" s="896"/>
      <c r="R21" s="896"/>
      <c r="S21" s="896"/>
      <c r="T21" s="896"/>
      <c r="U21" s="896"/>
      <c r="V21" s="897"/>
      <c r="W21" s="901"/>
      <c r="X21" s="900"/>
      <c r="Y21" s="178"/>
      <c r="Z21" s="178"/>
      <c r="AA21" s="178"/>
      <c r="AB21" s="179"/>
      <c r="AC21" s="62"/>
      <c r="AD21"/>
      <c r="AE21"/>
      <c r="AF21" s="288" t="s">
        <v>1384</v>
      </c>
      <c r="AG21" s="626">
        <f>IFERROR(INDEX('Rosters Master'!$M$2:$M$261,MATCH($AE$3&amp;"|Official A",'Rosters Master'!$N$2:$N$261,0)),"")</f>
      </c>
      <c r="AH21" s="258"/>
      <c r="AI21" s="258"/>
      <c r="AJ21" s="258" t="s">
        <v>1384</v>
      </c>
      <c r="AK21" s="626">
        <f>IFERROR(INDEX('Rosters Master'!$M$2:$M$261,MATCH($AE$4&amp;"|Official A",'Rosters Master'!$N$2:$N$261,0)),"")</f>
      </c>
      <c r="AL21" s="258"/>
      <c r="AM21" s="258"/>
      <c r="AN21" s="258"/>
    </row>
    <row r="22" spans="1:40" ht="15" customHeight="1">
      <c r="A22" s="173">
        <f t="array" ref="A22">IFERROR(IF(INDEX('Rosters Master'!$C$2:$C$261,SMALL(IF(('Rosters Master'!$A$2:$A$261=$AE$3)*('Rosters Master'!$B$2:$B$261="Player"),ROW('Rosters Master'!$A$2:$A$261)-1),15))="","",INDEX('Rosters Master'!$C$2:$C$261,SMALL(IF(('Rosters Master'!$A$2:$A$261=$AE$3)*('Rosters Master'!$B$2:$B$261="Player"),ROW('Rosters Master'!$A$2:$A$261)-1),15))),"")</f>
      </c>
      <c r="B22" s="884">
        <f t="array" ref="B22">IFERROR(IF(INDEX('Rosters Master'!$M$2:$M$261,SMALL(IF(('Rosters Master'!$A$2:$A$261=$AE$3)*('Rosters Master'!$B$2:$B$261="Player"),ROW('Rosters Master'!$A$2:$A$261)-1),15))="","",INDEX('Rosters Master'!$M$2:$M$261,SMALL(IF(('Rosters Master'!$A$2:$A$261=$AE$3)*('Rosters Master'!$B$2:$B$261="Player"),ROW('Rosters Master'!$A$2:$A$261)-1),15))),"")</f>
      </c>
      <c r="C22" s="885"/>
      <c r="D22" s="885"/>
      <c r="E22" s="885"/>
      <c r="F22" s="885"/>
      <c r="G22" s="886"/>
      <c r="H22" s="208"/>
      <c r="I22" s="887"/>
      <c r="J22" s="888"/>
      <c r="K22" s="889"/>
      <c r="L22" s="175"/>
      <c r="M22" s="175"/>
      <c r="N22" s="175"/>
      <c r="O22" s="176">
        <f t="array" ref="O22">IFERROR(IF(INDEX('Rosters Master'!$C$2:$C$261,SMALL(IF(('Rosters Master'!$A$2:$A$261=$AE$4)*('Rosters Master'!$B$2:$B$261="Player"),ROW('Rosters Master'!$A$2:$A$261)-1),15))="","",INDEX('Rosters Master'!$C$2:$C$261,SMALL(IF(('Rosters Master'!$A$2:$A$261=$AE$4)*('Rosters Master'!$B$2:$B$261="Player"),ROW('Rosters Master'!$A$2:$A$261)-1),15))),"")</f>
      </c>
      <c r="P22" s="884">
        <f t="array" ref="P22">IFERROR(IF(INDEX('Rosters Master'!$M$2:$M$261,SMALL(IF(('Rosters Master'!$A$2:$A$261=$AE$4)*('Rosters Master'!$B$2:$B$261="Player"),ROW('Rosters Master'!$A$2:$A$261)-1),15))="","",INDEX('Rosters Master'!$M$2:$M$261,SMALL(IF(('Rosters Master'!$A$2:$A$261=$AE$4)*('Rosters Master'!$B$2:$B$261="Player"),ROW('Rosters Master'!$A$2:$A$261)-1),15))),"")</f>
      </c>
      <c r="Q22" s="885"/>
      <c r="R22" s="885"/>
      <c r="S22" s="885"/>
      <c r="T22" s="885"/>
      <c r="U22" s="885"/>
      <c r="V22" s="886"/>
      <c r="W22" s="887"/>
      <c r="X22" s="889"/>
      <c r="Y22" s="175"/>
      <c r="Z22" s="175"/>
      <c r="AA22" s="175"/>
      <c r="AB22" s="175"/>
      <c r="AC22" s="62"/>
      <c r="AD22"/>
      <c r="AE22"/>
      <c r="AF22" s="288" t="s">
        <v>1387</v>
      </c>
      <c r="AG22" s="626">
        <f>IFERROR(INDEX('Rosters Master'!$M$2:$M$261,MATCH($AE$3&amp;"|Official B",'Rosters Master'!$N$2:$N$261,0)),"")</f>
      </c>
      <c r="AH22" s="258"/>
      <c r="AI22" s="258"/>
      <c r="AJ22" s="258" t="s">
        <v>1387</v>
      </c>
      <c r="AK22" s="626">
        <f>IFERROR(INDEX('Rosters Master'!$M$2:$M$261,MATCH($AE$4&amp;"|Official B",'Rosters Master'!$N$2:$N$261,0)),"")</f>
      </c>
      <c r="AL22" s="258"/>
      <c r="AM22" s="258"/>
      <c r="AN22" s="258"/>
    </row>
    <row r="23" spans="1:40" ht="14.25" customHeight="1">
      <c r="A23" s="59">
        <f t="array" ref="A23">IFERROR(IF(INDEX('Rosters Master'!$C$2:$C$261,SMALL(IF(('Rosters Master'!$A$2:$A$261=$AE$3)*('Rosters Master'!$B$2:$B$261="Player"),ROW('Rosters Master'!$A$2:$A$261)-1),16))="","",INDEX('Rosters Master'!$C$2:$C$261,SMALL(IF(('Rosters Master'!$A$2:$A$261=$AE$3)*('Rosters Master'!$B$2:$B$261="Player"),ROW('Rosters Master'!$A$2:$A$261)-1),16))),"")</f>
      </c>
      <c r="B23" s="890">
        <f t="array" ref="B23">IFERROR(IF(INDEX('Rosters Master'!$M$2:$M$261,SMALL(IF(('Rosters Master'!$A$2:$A$261=$AE$3)*('Rosters Master'!$B$2:$B$261="Player"),ROW('Rosters Master'!$A$2:$A$261)-1),16))="","",INDEX('Rosters Master'!$M$2:$M$261,SMALL(IF(('Rosters Master'!$A$2:$A$261=$AE$3)*('Rosters Master'!$B$2:$B$261="Player"),ROW('Rosters Master'!$A$2:$A$261)-1),16))),"")</f>
      </c>
      <c r="C23" s="891"/>
      <c r="D23" s="891"/>
      <c r="E23" s="891"/>
      <c r="F23" s="891"/>
      <c r="G23" s="892"/>
      <c r="H23" s="58"/>
      <c r="I23" s="882"/>
      <c r="J23" s="876"/>
      <c r="K23" s="877"/>
      <c r="L23" s="60"/>
      <c r="M23" s="60"/>
      <c r="N23" s="60"/>
      <c r="O23" s="61">
        <f t="array" ref="O23">IFERROR(IF(INDEX('Rosters Master'!$C$2:$C$261,SMALL(IF(('Rosters Master'!$A$2:$A$261=$AE$4)*('Rosters Master'!$B$2:$B$261="Player"),ROW('Rosters Master'!$A$2:$A$261)-1),16))="","",INDEX('Rosters Master'!$C$2:$C$261,SMALL(IF(('Rosters Master'!$A$2:$A$261=$AE$4)*('Rosters Master'!$B$2:$B$261="Player"),ROW('Rosters Master'!$A$2:$A$261)-1),16))),"")</f>
      </c>
      <c r="P23" s="890">
        <f t="array" ref="P23">IFERROR(IF(INDEX('Rosters Master'!$M$2:$M$261,SMALL(IF(('Rosters Master'!$A$2:$A$261=$AE$4)*('Rosters Master'!$B$2:$B$261="Player"),ROW('Rosters Master'!$A$2:$A$261)-1),16))="","",INDEX('Rosters Master'!$M$2:$M$261,SMALL(IF(('Rosters Master'!$A$2:$A$261=$AE$4)*('Rosters Master'!$B$2:$B$261="Player"),ROW('Rosters Master'!$A$2:$A$261)-1),16))),"")</f>
      </c>
      <c r="Q23" s="891"/>
      <c r="R23" s="891"/>
      <c r="S23" s="891"/>
      <c r="T23" s="891"/>
      <c r="U23" s="891"/>
      <c r="V23" s="892"/>
      <c r="W23" s="882"/>
      <c r="X23" s="877"/>
      <c r="Y23" s="60"/>
      <c r="Z23" s="60"/>
      <c r="AA23" s="60"/>
      <c r="AB23" s="60"/>
      <c r="AC23" s="62"/>
      <c r="AD23" s="285"/>
      <c r="AE23" s="285"/>
      <c r="AF23" s="288" t="s">
        <v>1390</v>
      </c>
      <c r="AG23" s="626">
        <f>IFERROR(INDEX('Rosters Master'!$M$2:$M$261,MATCH($AE$3&amp;"|Official C",'Rosters Master'!$N$2:$N$261,0)),"")</f>
      </c>
      <c r="AJ23" s="55" t="s">
        <v>1390</v>
      </c>
      <c r="AK23" s="626">
        <f>IFERROR(INDEX('Rosters Master'!$M$2:$M$261,MATCH($AE$4&amp;"|Official C",'Rosters Master'!$N$2:$N$261,0)),"")</f>
      </c>
    </row>
    <row r="24" spans="1:40" ht="14.25"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62"/>
      <c r="AC24" s="62"/>
      <c r="AD24" s="285"/>
      <c r="AE24" s="285"/>
      <c r="AF24" s="288" t="s">
        <v>1393</v>
      </c>
      <c r="AG24" s="626">
        <f>IFERROR(INDEX('Rosters Master'!$M$2:$M$261,MATCH($AE$3&amp;"|Official D",'Rosters Master'!$N$2:$N$261,0)),"")</f>
      </c>
      <c r="AJ24" s="55" t="s">
        <v>1393</v>
      </c>
      <c r="AK24" s="626">
        <f>IFERROR(INDEX('Rosters Master'!$M$2:$M$261,MATCH($AE$4&amp;"|Official D",'Rosters Master'!$N$2:$N$261,0)),"")</f>
      </c>
    </row>
    <row r="25" spans="1:40" ht="13.5" customHeight="1">
      <c r="A25" s="64" t="s">
        <v>2076</v>
      </c>
      <c r="B25" s="881">
        <f>IF($AG$21=0,"",$AG$21)</f>
      </c>
      <c r="C25" s="876"/>
      <c r="D25" s="876"/>
      <c r="E25" s="876"/>
      <c r="F25" s="876"/>
      <c r="G25" s="876"/>
      <c r="H25" s="877"/>
      <c r="I25" s="883"/>
      <c r="J25" s="876"/>
      <c r="K25" s="877"/>
      <c r="L25" s="60"/>
      <c r="M25" s="60"/>
      <c r="N25" s="60"/>
      <c r="O25" s="64" t="s">
        <v>2076</v>
      </c>
      <c r="P25" s="881">
        <f>IF($AK$21=0,"",$AK$21)</f>
      </c>
      <c r="Q25" s="876"/>
      <c r="R25" s="876"/>
      <c r="S25" s="876"/>
      <c r="T25" s="876"/>
      <c r="U25" s="876"/>
      <c r="V25" s="876"/>
      <c r="W25" s="876"/>
      <c r="X25" s="877"/>
      <c r="Y25" s="60"/>
      <c r="Z25" s="60"/>
      <c r="AA25" s="60"/>
      <c r="AB25" s="60"/>
      <c r="AC25" s="62"/>
      <c r="AF25"/>
    </row>
    <row r="26" spans="1:40" ht="12.75" customHeight="1">
      <c r="A26" s="64" t="s">
        <v>2077</v>
      </c>
      <c r="B26" s="881">
        <f>IF($AG$22=0,"",$AG$22)</f>
      </c>
      <c r="C26" s="876"/>
      <c r="D26" s="876"/>
      <c r="E26" s="876"/>
      <c r="F26" s="876"/>
      <c r="G26" s="876"/>
      <c r="H26" s="877"/>
      <c r="I26" s="882"/>
      <c r="J26" s="876"/>
      <c r="K26" s="877"/>
      <c r="L26" s="60"/>
      <c r="M26" s="60"/>
      <c r="N26" s="60"/>
      <c r="O26" s="64" t="s">
        <v>2077</v>
      </c>
      <c r="P26" s="881">
        <f>IF($AK$22=0,"",$AK$22)</f>
      </c>
      <c r="Q26" s="876"/>
      <c r="R26" s="876"/>
      <c r="S26" s="876"/>
      <c r="T26" s="876"/>
      <c r="U26" s="876"/>
      <c r="V26" s="876"/>
      <c r="W26" s="876"/>
      <c r="X26" s="877"/>
      <c r="Y26" s="60"/>
      <c r="Z26" s="60"/>
      <c r="AA26" s="60"/>
      <c r="AB26" s="60"/>
      <c r="AC26" s="62"/>
      <c r="AF26"/>
    </row>
    <row r="27" spans="1:40" ht="13.5" customHeight="1">
      <c r="A27" s="64" t="s">
        <v>2078</v>
      </c>
      <c r="B27" s="881">
        <f>IF($AG$23=0,"",$AG$23)</f>
      </c>
      <c r="C27" s="876"/>
      <c r="D27" s="876"/>
      <c r="E27" s="876"/>
      <c r="F27" s="876"/>
      <c r="G27" s="876"/>
      <c r="H27" s="877"/>
      <c r="I27" s="882"/>
      <c r="J27" s="876"/>
      <c r="K27" s="877"/>
      <c r="L27" s="60"/>
      <c r="M27" s="60"/>
      <c r="N27" s="60"/>
      <c r="O27" s="64" t="s">
        <v>2078</v>
      </c>
      <c r="P27" s="881">
        <f>IF($AK$23=0,"",$AK$23)</f>
      </c>
      <c r="Q27" s="876"/>
      <c r="R27" s="876"/>
      <c r="S27" s="876"/>
      <c r="T27" s="876"/>
      <c r="U27" s="876"/>
      <c r="V27" s="876"/>
      <c r="W27" s="876"/>
      <c r="X27" s="877"/>
      <c r="Y27" s="60"/>
      <c r="Z27" s="60"/>
      <c r="AA27" s="60"/>
      <c r="AB27" s="65"/>
      <c r="AC27" s="62"/>
      <c r="AF27"/>
    </row>
    <row r="28" spans="1:40" ht="12.75" customHeight="1">
      <c r="A28" s="64" t="s">
        <v>2079</v>
      </c>
      <c r="B28" s="881">
        <f>IF($AG$24=0,"",$AG$24)</f>
      </c>
      <c r="C28" s="876"/>
      <c r="D28" s="876"/>
      <c r="E28" s="876"/>
      <c r="F28" s="876"/>
      <c r="G28" s="876"/>
      <c r="H28" s="877"/>
      <c r="I28" s="882"/>
      <c r="J28" s="876"/>
      <c r="K28" s="877"/>
      <c r="L28" s="60"/>
      <c r="M28" s="60"/>
      <c r="N28" s="60"/>
      <c r="O28" s="64" t="s">
        <v>2079</v>
      </c>
      <c r="P28" s="881">
        <f>IF($AK$24=0,"",$AK$24)</f>
      </c>
      <c r="Q28" s="876"/>
      <c r="R28" s="876"/>
      <c r="S28" s="876"/>
      <c r="T28" s="876"/>
      <c r="U28" s="876"/>
      <c r="V28" s="876"/>
      <c r="W28" s="876"/>
      <c r="X28" s="877"/>
      <c r="Y28" s="60"/>
      <c r="Z28" s="60"/>
      <c r="AA28" s="63"/>
      <c r="AB28" s="60"/>
      <c r="AC28" s="62"/>
      <c r="AF28"/>
    </row>
    <row r="29" spans="1:40" ht="10.5" customHeight="1">
      <c r="A29" s="57"/>
      <c r="B29" s="56"/>
      <c r="C29" s="56"/>
      <c r="D29" s="56"/>
      <c r="E29" s="56"/>
      <c r="F29" s="56"/>
      <c r="G29" s="56"/>
      <c r="H29" s="56"/>
      <c r="I29" s="57"/>
      <c r="J29" s="57"/>
      <c r="K29" s="57"/>
      <c r="L29" s="57"/>
      <c r="M29" s="57"/>
      <c r="N29" s="57"/>
      <c r="O29" s="57"/>
      <c r="P29" s="57"/>
      <c r="Q29" s="57"/>
      <c r="R29" s="57"/>
      <c r="S29" s="57"/>
      <c r="T29" s="57"/>
      <c r="U29" s="57"/>
      <c r="V29" s="57"/>
      <c r="W29" s="57"/>
      <c r="X29" s="57"/>
      <c r="Y29" s="57"/>
      <c r="Z29" s="57"/>
      <c r="AA29" s="57"/>
      <c r="AB29" s="57"/>
      <c r="AC29" s="57"/>
      <c r="AF29"/>
    </row>
    <row r="30" spans="1:40" ht="14.25" customHeight="1">
      <c r="A30" s="66" t="s">
        <v>2080</v>
      </c>
      <c r="B30" s="875"/>
      <c r="C30" s="876"/>
      <c r="D30" s="876"/>
      <c r="E30" s="876"/>
      <c r="F30" s="876"/>
      <c r="G30" s="876"/>
      <c r="H30" s="877"/>
      <c r="I30" s="878" t="s">
        <v>2081</v>
      </c>
      <c r="J30" s="876"/>
      <c r="K30" s="876"/>
      <c r="L30" s="876"/>
      <c r="M30" s="876"/>
      <c r="N30" s="876"/>
      <c r="O30" s="876"/>
      <c r="P30" s="876"/>
      <c r="Q30" s="876"/>
      <c r="R30" s="876"/>
      <c r="S30" s="877"/>
      <c r="T30" s="875"/>
      <c r="U30" s="876"/>
      <c r="V30" s="876"/>
      <c r="W30" s="876"/>
      <c r="X30" s="876"/>
      <c r="Y30" s="876"/>
      <c r="Z30" s="876"/>
      <c r="AA30" s="877"/>
      <c r="AB30" s="67" t="s">
        <v>2082</v>
      </c>
      <c r="AC30" s="57"/>
      <c r="AF30"/>
    </row>
    <row r="31" spans="1:40" ht="62.25" customHeight="1">
      <c r="A31" s="878" t="s">
        <v>2083</v>
      </c>
      <c r="B31" s="876"/>
      <c r="C31" s="876"/>
      <c r="D31" s="876"/>
      <c r="E31" s="876"/>
      <c r="F31" s="876"/>
      <c r="G31" s="876"/>
      <c r="H31" s="876"/>
      <c r="I31" s="876"/>
      <c r="J31" s="876"/>
      <c r="K31" s="876"/>
      <c r="L31" s="876"/>
      <c r="M31" s="876"/>
      <c r="N31" s="876"/>
      <c r="O31" s="876"/>
      <c r="P31" s="876"/>
      <c r="Q31" s="876"/>
      <c r="R31" s="876"/>
      <c r="S31" s="876"/>
      <c r="T31" s="876"/>
      <c r="U31" s="876"/>
      <c r="V31" s="876"/>
      <c r="W31" s="876"/>
      <c r="X31" s="876"/>
      <c r="Y31" s="876"/>
      <c r="Z31" s="876"/>
      <c r="AA31" s="876"/>
      <c r="AB31" s="877"/>
      <c r="AC31" s="68"/>
    </row>
    <row r="32" spans="1:40" ht="13.5" customHeight="1">
      <c r="A32" s="874" t="s">
        <v>2084</v>
      </c>
      <c r="B32" s="872"/>
      <c r="C32" s="872"/>
      <c r="D32" s="872"/>
      <c r="E32" s="872"/>
      <c r="F32" s="872"/>
      <c r="G32" s="872"/>
      <c r="H32" s="872"/>
      <c r="I32" s="872"/>
      <c r="J32" s="872"/>
      <c r="K32" s="872"/>
      <c r="L32" s="872"/>
      <c r="M32" s="872"/>
      <c r="N32" s="872"/>
      <c r="O32" s="872"/>
      <c r="P32" s="872"/>
      <c r="Q32" s="872"/>
      <c r="R32" s="872"/>
      <c r="S32" s="872"/>
      <c r="T32" s="872"/>
      <c r="U32" s="872"/>
      <c r="V32" s="872"/>
      <c r="W32" s="872"/>
      <c r="X32" s="872"/>
      <c r="Y32" s="872"/>
      <c r="Z32" s="872"/>
      <c r="AA32" s="872"/>
      <c r="AB32" s="872"/>
      <c r="AC32" s="872"/>
    </row>
    <row r="33" spans="1:29" ht="14.25" customHeight="1">
      <c r="A33" s="57"/>
      <c r="B33" s="57"/>
      <c r="C33" s="57"/>
      <c r="D33" s="286">
        <f>IFERROR(TRIM(LEFT($AE$8,FIND("/",$AE$8)-1)),$AE$8)</f>
      </c>
      <c r="E33" s="281"/>
      <c r="F33" s="281"/>
      <c r="G33" s="281"/>
      <c r="H33" s="281"/>
      <c r="I33" s="282"/>
      <c r="J33" s="879"/>
      <c r="K33" s="870"/>
      <c r="L33" s="870"/>
      <c r="M33" s="870"/>
      <c r="N33" s="870"/>
      <c r="O33" s="870"/>
      <c r="P33" s="69"/>
      <c r="Q33" s="287">
        <f>IFERROR(TRIM(MID($AE$8,FIND("/",$AE$8)+1,100)),"")</f>
      </c>
      <c r="R33" s="283"/>
      <c r="S33" s="283"/>
      <c r="T33" s="283"/>
      <c r="U33" s="283"/>
      <c r="V33" s="284"/>
      <c r="W33" s="880"/>
      <c r="X33" s="870"/>
      <c r="Y33" s="870"/>
      <c r="Z33" s="870"/>
      <c r="AA33" s="870"/>
      <c r="AB33" s="870"/>
      <c r="AC33" s="57"/>
    </row>
    <row r="34" spans="1:29" ht="12" customHeight="1">
      <c r="A34" s="871" t="s">
        <v>2085</v>
      </c>
      <c r="B34" s="872"/>
      <c r="C34" s="872"/>
      <c r="D34" s="872"/>
      <c r="E34" s="872"/>
      <c r="F34" s="872"/>
      <c r="G34" s="872"/>
      <c r="H34" s="872"/>
      <c r="I34" s="872"/>
      <c r="J34" s="872"/>
      <c r="K34" s="872"/>
      <c r="L34" s="872"/>
      <c r="M34" s="872"/>
      <c r="N34" s="872"/>
      <c r="O34" s="872"/>
      <c r="P34" s="872"/>
      <c r="Q34" s="872"/>
      <c r="R34" s="872"/>
      <c r="S34" s="872"/>
      <c r="T34" s="872"/>
      <c r="U34" s="872"/>
      <c r="V34" s="872"/>
      <c r="W34" s="872"/>
      <c r="X34" s="872"/>
      <c r="Y34" s="872"/>
      <c r="Z34" s="872"/>
      <c r="AA34" s="872"/>
      <c r="AB34" s="872"/>
      <c r="AC34" s="872"/>
    </row>
    <row r="35" spans="1:29" ht="15" customHeight="1">
      <c r="A35" s="57"/>
      <c r="B35" s="57"/>
      <c r="C35" s="57"/>
      <c r="D35" s="873"/>
      <c r="E35" s="867"/>
      <c r="F35" s="867"/>
      <c r="G35" s="867"/>
      <c r="H35" s="867"/>
      <c r="I35" s="868"/>
      <c r="J35" s="869"/>
      <c r="K35" s="870"/>
      <c r="L35" s="870"/>
      <c r="M35" s="870"/>
      <c r="N35" s="870"/>
      <c r="O35" s="870"/>
      <c r="P35" s="57"/>
      <c r="Q35" s="873"/>
      <c r="R35" s="867"/>
      <c r="S35" s="867"/>
      <c r="T35" s="867"/>
      <c r="U35" s="867"/>
      <c r="V35" s="868"/>
      <c r="W35" s="869"/>
      <c r="X35" s="870"/>
      <c r="Y35" s="870"/>
      <c r="Z35" s="870"/>
      <c r="AA35" s="870"/>
      <c r="AB35" s="870"/>
      <c r="AC35" s="57"/>
    </row>
    <row r="36" spans="1:29" ht="12" customHeight="1">
      <c r="A36" s="874" t="s">
        <v>2086</v>
      </c>
      <c r="B36" s="872"/>
      <c r="C36" s="872"/>
      <c r="D36" s="872"/>
      <c r="E36" s="872"/>
      <c r="F36" s="872"/>
      <c r="G36" s="872"/>
      <c r="H36" s="872"/>
      <c r="I36" s="872"/>
      <c r="J36" s="872"/>
      <c r="K36" s="872"/>
      <c r="L36" s="872"/>
      <c r="M36" s="872"/>
      <c r="N36" s="872"/>
      <c r="O36" s="872"/>
      <c r="P36" s="872"/>
      <c r="Q36" s="872"/>
      <c r="R36" s="872"/>
      <c r="S36" s="872"/>
      <c r="T36" s="872"/>
      <c r="U36" s="872"/>
      <c r="V36" s="872"/>
      <c r="W36" s="872"/>
      <c r="X36" s="872"/>
      <c r="Y36" s="872"/>
      <c r="Z36" s="872"/>
      <c r="AA36" s="872"/>
      <c r="AB36" s="872"/>
      <c r="AC36" s="872"/>
    </row>
    <row r="37" spans="1:29" ht="14.25" customHeight="1">
      <c r="A37" s="57"/>
      <c r="B37" s="57"/>
      <c r="C37" s="57"/>
      <c r="D37" s="866"/>
      <c r="E37" s="867"/>
      <c r="F37" s="867"/>
      <c r="G37" s="867"/>
      <c r="H37" s="867"/>
      <c r="I37" s="868"/>
      <c r="J37" s="869"/>
      <c r="K37" s="870"/>
      <c r="L37" s="870"/>
      <c r="M37" s="870"/>
      <c r="N37" s="870"/>
      <c r="O37" s="870"/>
      <c r="P37" s="57"/>
      <c r="Q37" s="57"/>
      <c r="R37" s="57"/>
      <c r="S37" s="57"/>
      <c r="T37" s="57"/>
      <c r="U37" s="57"/>
      <c r="V37" s="57"/>
      <c r="W37" s="57"/>
      <c r="X37" s="57"/>
      <c r="Y37" s="57"/>
      <c r="Z37" s="57"/>
      <c r="AA37" s="57"/>
      <c r="AB37" s="57"/>
      <c r="AC37" s="57"/>
    </row>
  </sheetData>
  <mergeCells count="119">
    <mergeCell ref="A1:J1"/>
    <mergeCell ref="K1:R1"/>
    <mergeCell ref="S1:AC1"/>
    <mergeCell ref="A2:N2"/>
    <mergeCell ref="O2:AB2"/>
    <mergeCell ref="A3:Z3"/>
    <mergeCell ref="AA5:AB6"/>
    <mergeCell ref="G6:H6"/>
    <mergeCell ref="V6:W6"/>
    <mergeCell ref="X6:Y6"/>
    <mergeCell ref="B7:G7"/>
    <mergeCell ref="I7:K7"/>
    <mergeCell ref="P7:V7"/>
    <mergeCell ref="W7:X7"/>
    <mergeCell ref="R4:T4"/>
    <mergeCell ref="W4:Z4"/>
    <mergeCell ref="A5:B6"/>
    <mergeCell ref="C5:D6"/>
    <mergeCell ref="E5:H5"/>
    <mergeCell ref="I5:T6"/>
    <mergeCell ref="U5:Y5"/>
    <mergeCell ref="Z5:Z6"/>
    <mergeCell ref="A4:B4"/>
    <mergeCell ref="C4:D4"/>
    <mergeCell ref="F4:H4"/>
    <mergeCell ref="I4:K4"/>
    <mergeCell ref="M4:N4"/>
    <mergeCell ref="P4:Q4"/>
    <mergeCell ref="B10:G10"/>
    <mergeCell ref="I10:K10"/>
    <mergeCell ref="P10:V10"/>
    <mergeCell ref="W10:X10"/>
    <mergeCell ref="B11:G11"/>
    <mergeCell ref="I11:K11"/>
    <mergeCell ref="P11:V11"/>
    <mergeCell ref="W11:X11"/>
    <mergeCell ref="B8:G8"/>
    <mergeCell ref="I8:K8"/>
    <mergeCell ref="P8:V8"/>
    <mergeCell ref="W8:X8"/>
    <mergeCell ref="B9:G9"/>
    <mergeCell ref="I9:K9"/>
    <mergeCell ref="P9:V9"/>
    <mergeCell ref="W9:X9"/>
    <mergeCell ref="B14:G14"/>
    <mergeCell ref="I14:K14"/>
    <mergeCell ref="P14:V14"/>
    <mergeCell ref="W14:X14"/>
    <mergeCell ref="B15:G15"/>
    <mergeCell ref="I15:K15"/>
    <mergeCell ref="P15:V15"/>
    <mergeCell ref="W15:X15"/>
    <mergeCell ref="B12:G12"/>
    <mergeCell ref="I12:K12"/>
    <mergeCell ref="P12:V12"/>
    <mergeCell ref="W12:X12"/>
    <mergeCell ref="B13:G13"/>
    <mergeCell ref="I13:K13"/>
    <mergeCell ref="P13:V13"/>
    <mergeCell ref="W13:X13"/>
    <mergeCell ref="B18:G18"/>
    <mergeCell ref="I18:K18"/>
    <mergeCell ref="P18:V18"/>
    <mergeCell ref="W18:X18"/>
    <mergeCell ref="B19:G19"/>
    <mergeCell ref="I19:K19"/>
    <mergeCell ref="P19:V19"/>
    <mergeCell ref="W19:X19"/>
    <mergeCell ref="B16:G16"/>
    <mergeCell ref="I16:K16"/>
    <mergeCell ref="P16:V16"/>
    <mergeCell ref="W16:X16"/>
    <mergeCell ref="B17:G17"/>
    <mergeCell ref="I17:K17"/>
    <mergeCell ref="P17:V17"/>
    <mergeCell ref="W17:X17"/>
    <mergeCell ref="B22:G22"/>
    <mergeCell ref="I22:K22"/>
    <mergeCell ref="P22:V22"/>
    <mergeCell ref="W22:X22"/>
    <mergeCell ref="B23:G23"/>
    <mergeCell ref="I23:K23"/>
    <mergeCell ref="P23:V23"/>
    <mergeCell ref="W23:X23"/>
    <mergeCell ref="B20:G20"/>
    <mergeCell ref="I20:K20"/>
    <mergeCell ref="P20:V20"/>
    <mergeCell ref="W20:X20"/>
    <mergeCell ref="B21:G21"/>
    <mergeCell ref="I21:K21"/>
    <mergeCell ref="P21:V21"/>
    <mergeCell ref="W21:X21"/>
    <mergeCell ref="B27:H27"/>
    <mergeCell ref="I27:K27"/>
    <mergeCell ref="P27:X27"/>
    <mergeCell ref="B28:H28"/>
    <mergeCell ref="I28:K28"/>
    <mergeCell ref="P28:X28"/>
    <mergeCell ref="B25:H25"/>
    <mergeCell ref="I25:K25"/>
    <mergeCell ref="P25:X25"/>
    <mergeCell ref="B26:H26"/>
    <mergeCell ref="I26:K26"/>
    <mergeCell ref="P26:X26"/>
    <mergeCell ref="D37:I37"/>
    <mergeCell ref="J37:O37"/>
    <mergeCell ref="A34:AC34"/>
    <mergeCell ref="D35:I35"/>
    <mergeCell ref="J35:O35"/>
    <mergeCell ref="Q35:V35"/>
    <mergeCell ref="W35:AB35"/>
    <mergeCell ref="A36:AC36"/>
    <mergeCell ref="B30:H30"/>
    <mergeCell ref="I30:S30"/>
    <mergeCell ref="T30:AA30"/>
    <mergeCell ref="A31:AB31"/>
    <mergeCell ref="A32:AC32"/>
    <mergeCell ref="J33:O33"/>
    <mergeCell ref="W33:AB33"/>
  </mergeCells>
  <dataValidations count="2">
    <dataValidation type="list" allowBlank="1" showInputMessage="1" showErrorMessage="1" sqref="AB3" xr:uid="{90C87202-1F18-4C70-B1A2-C5847E3DBEA3}">
      <formula1>"1,2,3,4,5,6,7,8,9,10,11,12,13,14,15,16,17,18,19,20,21,22,23,24,25,26,27"</formula1>
    </dataValidation>
    <dataValidation type="list" allowBlank="1" showInputMessage="1" showErrorMessage="1" sqref="D33:I33 A2:AB2" xr:uid="{E311A73B-B933-4A9B-AC1F-F31AA980DAC9}">
      <formula1>#REF!</formula1>
    </dataValidation>
  </dataValidations>
  <pageMargins left="0.2" right="0.2" top="0.25" bottom="0.25" header="0" footer="0"/>
  <pageSetup scale="80" orientation="portrait"/>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7</vt:i4>
      </vt:variant>
    </vt:vector>
  </HeadingPairs>
  <TitlesOfParts>
    <vt:vector size="54" baseType="lpstr">
      <vt:lpstr>----- NAVIGATION -----</vt:lpstr>
      <vt:lpstr>Control Panel</vt:lpstr>
      <vt:lpstr>Model Notes</vt:lpstr>
      <vt:lpstr>Admin Manual</vt:lpstr>
      <vt:lpstr>Volunteer Guide</vt:lpstr>
      <vt:lpstr>----- MASTER DATA -----</vt:lpstr>
      <vt:lpstr>Inputs</vt:lpstr>
      <vt:lpstr>Format Engine</vt:lpstr>
      <vt:lpstr>Standings Engine</vt:lpstr>
      <vt:lpstr>Teams Master</vt:lpstr>
      <vt:lpstr>Referees Master</vt:lpstr>
      <vt:lpstr>Medical Staff Master</vt:lpstr>
      <vt:lpstr>Products Master</vt:lpstr>
      <vt:lpstr>----- REGISTRATION -----</vt:lpstr>
      <vt:lpstr>Registration 2027</vt:lpstr>
      <vt:lpstr>----- GAME OPERATIONS -----</vt:lpstr>
      <vt:lpstr>Games Schedule</vt:lpstr>
      <vt:lpstr>Group Draw</vt:lpstr>
      <vt:lpstr>Printable Schedule</vt:lpstr>
      <vt:lpstr>Rankings</vt:lpstr>
      <vt:lpstr>Final Rankings</vt:lpstr>
      <vt:lpstr>Past Winners</vt:lpstr>
      <vt:lpstr>----- TEAM ROSTERS -----</vt:lpstr>
      <vt:lpstr>Rosters Master</vt:lpstr>
      <vt:lpstr>Roster Template</vt:lpstr>
      <vt:lpstr>----- STATISTICS &amp; MVP -----</vt:lpstr>
      <vt:lpstr>Stats &amp; MVP</vt:lpstr>
      <vt:lpstr>Individuals Stats Men</vt:lpstr>
      <vt:lpstr>Individuals Stats Women</vt:lpstr>
      <vt:lpstr>Voters Master</vt:lpstr>
      <vt:lpstr>Officials Contacts</vt:lpstr>
      <vt:lpstr>MVP Voting</vt:lpstr>
      <vt:lpstr>----- VOLUNTEERS -----</vt:lpstr>
      <vt:lpstr>Volunteer Master List</vt:lpstr>
      <vt:lpstr>Gym Prep</vt:lpstr>
      <vt:lpstr>Referee Pickup Drop Off</vt:lpstr>
      <vt:lpstr>----- FINANCE -----</vt:lpstr>
      <vt:lpstr>Budget Dashboard</vt:lpstr>
      <vt:lpstr>Multi Year Financial Summary</vt:lpstr>
      <vt:lpstr>Operations Costs</vt:lpstr>
      <vt:lpstr>Concession Projection Details</vt:lpstr>
      <vt:lpstr>Merch Pre-Order (COGS)</vt:lpstr>
      <vt:lpstr>Concession purchase list</vt:lpstr>
      <vt:lpstr>Price List Concession</vt:lpstr>
      <vt:lpstr>Pre-orders</vt:lpstr>
      <vt:lpstr>----- TEMPLATES -----</vt:lpstr>
      <vt:lpstr>Game Sheet</vt:lpstr>
      <vt:lpstr>Rankings!Men_Group_A_Result_Table</vt:lpstr>
      <vt:lpstr>Rankings!Men_Group_B_Result_Table</vt:lpstr>
      <vt:lpstr>'Game Sheet'!Print_Area</vt:lpstr>
      <vt:lpstr>'Individuals Stats Men'!Print_Area</vt:lpstr>
      <vt:lpstr>'Printable Schedule'!Print_Area</vt:lpstr>
      <vt:lpstr>'Printable Schedule'!Print_Titles</vt:lpstr>
      <vt:lpstr>Rankings!Women_Result_Table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Tournament Master Template</dc:title>
  <dc:subject/>
  <dc:creator>Organizer</dc:creator>
  <cp:keywords/>
  <dc:description/>
  <cp:lastModifiedBy>Organizer</cp:lastModifiedBy>
  <cp:revision/>
  <dcterms:created xsi:type="dcterms:W3CDTF">2026-10-08T00:00:00Z</dcterms:created>
  <dcterms:modified xsi:type="dcterms:W3CDTF">2026-10-08T00:00:00Z</dcterms:modified>
  <cp:category/>
  <cp:contentStatus/>
</cp:coreProperties>
</file>